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จังหวัดใช้งาน" sheetId="2" r:id="rId5"/>
    <sheet state="visible" name="shop_manual_cleansing" sheetId="3" r:id="rId6"/>
    <sheet state="visible" name="ข้อมูล_gmail" sheetId="4" r:id="rId7"/>
    <sheet state="visible" name="คำนวณ " sheetId="5" r:id="rId8"/>
  </sheets>
  <definedNames/>
  <calcPr/>
  <extLst>
    <ext uri="GoogleSheetsCustomDataVersion2">
      <go:sheetsCustomData xmlns:go="http://customooxmlschemas.google.com/" r:id="rId9" roundtripDataChecksum="ZHo91bK2UA+SFzOP6edM4heNT5EU6DhxOvDNqD0wnDI="/>
    </ext>
  </extLst>
</workbook>
</file>

<file path=xl/sharedStrings.xml><?xml version="1.0" encoding="utf-8"?>
<sst xmlns="http://schemas.openxmlformats.org/spreadsheetml/2006/main" count="5533" uniqueCount="1913">
  <si>
    <t>Unnamed: 0</t>
  </si>
  <si>
    <t>รหัส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</si>
  <si>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</si>
  <si>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</si>
  <si>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</si>
  <si>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</si>
  <si>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</si>
  <si>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</si>
  <si>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</si>
  <si>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U</t>
  </si>
  <si>
    <t>ราคากลาง</t>
  </si>
  <si>
    <t>เดือน</t>
  </si>
  <si>
    <t>สัปดาห์</t>
  </si>
  <si>
    <t>นับราคากลาง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</si>
  <si>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</si>
  <si>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</si>
  <si>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</si>
  <si>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</si>
  <si>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</si>
  <si>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/>
  </si>
  <si>
    <t>ชุด บ.</t>
  </si>
  <si>
    <t>1111002</t>
  </si>
  <si>
    <t>ข้าวสารเหนียว</t>
  </si>
  <si>
    <t>2แหล่ง (1ข้าวเหนียวถัง/1ข้าวเหนียวถุง)</t>
  </si>
  <si>
    <t>ลูกหมู</t>
  </si>
  <si>
    <t>ชุด บ.1</t>
  </si>
  <si>
    <t>1112101</t>
  </si>
  <si>
    <t>แป้งข้าวเจ้า</t>
  </si>
  <si>
    <t>ชลัยพร</t>
  </si>
  <si>
    <t>ชุด น.</t>
  </si>
  <si>
    <t>1112102</t>
  </si>
  <si>
    <t>แป้งมันสำปะหลัง</t>
  </si>
  <si>
    <t>พีท</t>
  </si>
  <si>
    <t>1112103</t>
  </si>
  <si>
    <t>แป้งสาลี</t>
  </si>
  <si>
    <t>ปอ</t>
  </si>
  <si>
    <t>1112104</t>
  </si>
  <si>
    <t>แป้งทอดกรอบ</t>
  </si>
  <si>
    <t>2แหล่ง 2สเปค</t>
  </si>
  <si>
    <t>ตุ๊กตา</t>
  </si>
  <si>
    <t>1112201</t>
  </si>
  <si>
    <t>เส้นก๋วยเตี๋ยวสด</t>
  </si>
  <si>
    <t>จารุณี</t>
  </si>
  <si>
    <t>1112202</t>
  </si>
  <si>
    <t>วุ้นเส้น</t>
  </si>
  <si>
    <t>2แหล่ง (2ขนาดเล็ก/2ขนาดใหญ่)</t>
  </si>
  <si>
    <t>เป๋าฮื้อ</t>
  </si>
  <si>
    <t>1112203</t>
  </si>
  <si>
    <t>เต้าหู้</t>
  </si>
  <si>
    <t>2แหล่ง (2เต้าหู้หลอด/1เต้าหู้แผ่นแข็ง)</t>
  </si>
  <si>
    <t>นุ่น</t>
  </si>
  <si>
    <t>1112204</t>
  </si>
  <si>
    <t>ขนมจีน</t>
  </si>
  <si>
    <t>มารียา</t>
  </si>
  <si>
    <t>1112205</t>
  </si>
  <si>
    <t>ขนมปังปอนด์</t>
  </si>
  <si>
    <t>C</t>
  </si>
  <si>
    <t>เอิร์น</t>
  </si>
  <si>
    <t>1112206</t>
  </si>
  <si>
    <t>ขนมขบเคี้ยว</t>
  </si>
  <si>
    <t>ฝ้าย</t>
  </si>
  <si>
    <t>1112207</t>
  </si>
  <si>
    <t>อาหารธัญพืช</t>
  </si>
  <si>
    <t>นันทวัน</t>
  </si>
  <si>
    <t>1112208</t>
  </si>
  <si>
    <t>มักกะโรนี</t>
  </si>
  <si>
    <t>เฟิน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</si>
  <si>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</si>
  <si>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</si>
  <si>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</si>
  <si>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</si>
  <si>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</si>
  <si>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</si>
  <si>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ต้า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</si>
  <si>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</si>
  <si>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</si>
  <si>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</si>
  <si>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</si>
  <si>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</si>
  <si>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</si>
  <si>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วิรัตน์</t>
  </si>
  <si>
    <t>1121103</t>
  </si>
  <si>
    <t>กระดูกซี่โครงหมู</t>
  </si>
  <si>
    <t>2แหล่ง 1สเปค</t>
  </si>
  <si>
    <t>พราว</t>
  </si>
  <si>
    <t>1121104</t>
  </si>
  <si>
    <t>เนื้อโค</t>
  </si>
  <si>
    <t>เนย</t>
  </si>
  <si>
    <t>1121105</t>
  </si>
  <si>
    <t>เครื่องในหมู</t>
  </si>
  <si>
    <t>แบม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</si>
  <si>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</si>
  <si>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</si>
  <si>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</si>
  <si>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</si>
  <si>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</si>
  <si>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</si>
  <si>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</si>
  <si>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</si>
  <si>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</si>
  <si>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</si>
  <si>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</si>
  <si>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</si>
  <si>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</si>
  <si>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</si>
  <si>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</si>
  <si>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</si>
  <si>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</si>
  <si>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</si>
  <si>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</si>
  <si>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</si>
  <si>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</si>
  <si>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</si>
  <si>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</si>
  <si>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</si>
  <si>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</si>
  <si>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</si>
  <si>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</si>
  <si>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</si>
  <si>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</si>
  <si>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</si>
  <si>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</si>
  <si>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</si>
  <si>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</si>
  <si>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</si>
  <si>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</si>
  <si>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</si>
  <si>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</si>
  <si>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</si>
  <si>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</si>
  <si>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</si>
  <si>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</si>
  <si>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</si>
  <si>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</si>
  <si>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</si>
  <si>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</si>
  <si>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</si>
  <si>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</si>
  <si>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</si>
  <si>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</si>
  <si>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</si>
  <si>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</si>
  <si>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</si>
  <si>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</si>
  <si>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</si>
  <si>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</si>
  <si>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</si>
  <si>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</si>
  <si>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</si>
  <si>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</si>
  <si>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</si>
  <si>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</si>
  <si>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</si>
  <si>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</si>
  <si>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</si>
  <si>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</si>
  <si>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</si>
  <si>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</si>
  <si>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</si>
  <si>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</si>
  <si>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</si>
  <si>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</si>
  <si>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</si>
  <si>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</si>
  <si>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</si>
  <si>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</si>
  <si>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</si>
  <si>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</si>
  <si>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</si>
  <si>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</si>
  <si>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</si>
  <si>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</si>
  <si>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</si>
  <si>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</si>
  <si>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</si>
  <si>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</si>
  <si>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</si>
  <si>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</si>
  <si>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</si>
  <si>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</si>
  <si>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</si>
  <si>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</si>
  <si>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</si>
  <si>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</si>
  <si>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</si>
  <si>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</si>
  <si>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</si>
  <si>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</si>
  <si>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</si>
  <si>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</si>
  <si>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</si>
  <si>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</si>
  <si>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</si>
  <si>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</si>
  <si>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</si>
  <si>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</si>
  <si>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</si>
  <si>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</si>
  <si>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</si>
  <si>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</si>
  <si>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</si>
  <si>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</si>
  <si>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</si>
  <si>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</si>
  <si>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</si>
  <si>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</si>
  <si>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</si>
  <si>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</si>
  <si>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</si>
  <si>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</si>
  <si>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</si>
  <si>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</si>
  <si>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</si>
  <si>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</si>
  <si>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</si>
  <si>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</si>
  <si>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</si>
  <si>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</si>
  <si>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</si>
  <si>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</si>
  <si>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</si>
  <si>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</si>
  <si>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</si>
  <si>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</si>
  <si>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</si>
  <si>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</si>
  <si>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</si>
  <si>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</si>
  <si>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</si>
  <si>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</si>
  <si>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</si>
  <si>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</si>
  <si>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</si>
  <si>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</si>
  <si>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</si>
  <si>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</si>
  <si>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</si>
  <si>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</si>
  <si>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</si>
  <si>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</si>
  <si>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</si>
  <si>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</si>
  <si>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</si>
  <si>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</si>
  <si>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</si>
  <si>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</si>
  <si>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</si>
  <si>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</si>
  <si>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</si>
  <si>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</si>
  <si>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</si>
  <si>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</si>
  <si>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</si>
  <si>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</si>
  <si>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</si>
  <si>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</si>
  <si>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</si>
  <si>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</si>
  <si>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</si>
  <si>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</si>
  <si>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</si>
  <si>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</si>
  <si>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</si>
  <si>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</si>
  <si>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</si>
  <si>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</si>
  <si>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</si>
  <si>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</si>
  <si>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</si>
  <si>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</si>
  <si>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</si>
  <si>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</si>
  <si>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</si>
  <si>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</si>
  <si>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</si>
  <si>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</si>
  <si>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</si>
  <si>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</si>
  <si>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</si>
  <si>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</si>
  <si>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</si>
  <si>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</si>
  <si>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</si>
  <si>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</si>
  <si>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</si>
  <si>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</si>
  <si>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</si>
  <si>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</si>
  <si>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</si>
  <si>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</si>
  <si>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</si>
  <si>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</si>
  <si>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</si>
  <si>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</si>
  <si>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</si>
  <si>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</si>
  <si>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</si>
  <si>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</si>
  <si>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</si>
  <si>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</si>
  <si>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</si>
  <si>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</si>
  <si>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</si>
  <si>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</si>
  <si>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</si>
  <si>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</si>
  <si>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</si>
  <si>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</si>
  <si>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</si>
  <si>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</si>
  <si>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</si>
  <si>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</si>
  <si>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</si>
  <si>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</si>
  <si>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</si>
  <si>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</si>
  <si>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</si>
  <si>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</si>
  <si>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</si>
  <si>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</si>
  <si>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</si>
  <si>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</si>
  <si>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</si>
  <si>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</si>
  <si>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</si>
  <si>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</si>
  <si>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</si>
  <si>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</si>
  <si>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</si>
  <si>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</si>
  <si>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</si>
  <si>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</si>
  <si>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</si>
  <si>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</si>
  <si>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</si>
  <si>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</si>
  <si>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</si>
  <si>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</si>
  <si>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</si>
  <si>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</si>
  <si>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</si>
  <si>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</si>
  <si>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</si>
  <si>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</si>
  <si>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</si>
  <si>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</si>
  <si>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</si>
  <si>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</si>
  <si>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</si>
  <si>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</si>
  <si>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</si>
  <si>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</si>
  <si>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</si>
  <si>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</si>
  <si>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</si>
  <si>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</si>
  <si>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</si>
  <si>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</si>
  <si>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</si>
  <si>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</si>
  <si>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</si>
  <si>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</si>
  <si>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</si>
  <si>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</si>
  <si>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</si>
  <si>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</si>
  <si>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</si>
  <si>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</si>
  <si>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</si>
  <si>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</si>
  <si>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</si>
  <si>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</si>
  <si>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</si>
  <si>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</si>
  <si>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</si>
  <si>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</si>
  <si>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</si>
  <si>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</si>
  <si>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</si>
  <si>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</si>
  <si>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</si>
  <si>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</si>
  <si>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</si>
  <si>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</si>
  <si>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</si>
  <si>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</si>
  <si>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</si>
  <si>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</si>
  <si>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</si>
  <si>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</si>
  <si>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</si>
  <si>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</si>
  <si>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</si>
  <si>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</si>
  <si>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</si>
  <si>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</si>
  <si>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</si>
  <si>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</si>
  <si>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</si>
  <si>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</si>
  <si>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</si>
  <si>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</si>
  <si>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</si>
  <si>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</si>
  <si>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</si>
  <si>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</si>
  <si>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</si>
  <si>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</si>
  <si>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</si>
  <si>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</si>
  <si>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</si>
  <si>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</si>
  <si>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</si>
  <si>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</si>
  <si>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</si>
  <si>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</si>
  <si>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</si>
  <si>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</si>
  <si>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</si>
  <si>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</si>
  <si>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</si>
  <si>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</si>
  <si>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</si>
  <si>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</si>
  <si>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</si>
  <si>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</si>
  <si>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</si>
  <si>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</si>
  <si>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</si>
  <si>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</si>
  <si>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</si>
  <si>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</si>
  <si>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</si>
  <si>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</si>
  <si>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</si>
  <si>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</si>
  <si>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</si>
  <si>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</si>
  <si>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</si>
  <si>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</si>
  <si>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</si>
  <si>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</si>
  <si>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</si>
  <si>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</si>
  <si>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</si>
  <si>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</si>
  <si>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</si>
  <si>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</si>
  <si>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</si>
  <si>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</si>
  <si>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</si>
  <si>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</si>
  <si>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</si>
  <si>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</si>
  <si>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</si>
  <si>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</si>
  <si>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</si>
  <si>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</si>
  <si>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</si>
  <si>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</si>
  <si>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</si>
  <si>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</si>
  <si>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</si>
  <si>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</si>
  <si>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</si>
  <si>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</si>
  <si>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</si>
  <si>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</si>
  <si>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</si>
  <si>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</si>
  <si>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</si>
  <si>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</si>
  <si>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</si>
  <si>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</si>
  <si>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</si>
  <si>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</si>
  <si>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</si>
  <si>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</si>
  <si>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</si>
  <si>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</si>
  <si>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</si>
  <si>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</si>
  <si>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</si>
  <si>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</si>
  <si>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</si>
  <si>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</si>
  <si>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</si>
  <si>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</si>
  <si>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</si>
  <si>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</si>
  <si>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</si>
  <si>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</si>
  <si>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</si>
  <si>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</si>
  <si>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</si>
  <si>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</si>
  <si>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</si>
  <si>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</si>
  <si>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</si>
  <si>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</si>
  <si>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</si>
  <si>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</si>
  <si>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</si>
  <si>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</si>
  <si>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</si>
  <si>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</si>
  <si>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</si>
  <si>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</si>
  <si>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</si>
  <si>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</si>
  <si>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</si>
  <si>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</si>
  <si>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</si>
  <si>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</si>
  <si>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</si>
  <si>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</si>
  <si>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</si>
  <si>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</si>
  <si>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</si>
  <si>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</si>
  <si>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</si>
  <si>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</si>
  <si>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</si>
  <si>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</si>
  <si>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</si>
  <si>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</si>
  <si>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</si>
  <si>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</si>
  <si>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</si>
  <si>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</si>
  <si>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</si>
  <si>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</si>
  <si>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</si>
  <si>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</si>
  <si>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</si>
  <si>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</si>
  <si>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</si>
  <si>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</si>
  <si>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</si>
  <si>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</si>
  <si>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</si>
  <si>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</si>
  <si>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</si>
  <si>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</si>
  <si>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</si>
  <si>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</si>
  <si>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</si>
  <si>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</si>
  <si>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</si>
  <si>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</si>
  <si>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</si>
  <si>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</si>
  <si>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</si>
  <si>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</si>
  <si>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</si>
  <si>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</si>
  <si>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</si>
  <si>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</si>
  <si>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</si>
  <si>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</si>
  <si>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</si>
  <si>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</si>
  <si>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</si>
  <si>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</si>
  <si>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</si>
  <si>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</si>
  <si>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</si>
  <si>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</si>
  <si>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</si>
  <si>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</si>
  <si>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</si>
  <si>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</si>
  <si>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</si>
  <si>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</si>
  <si>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</si>
  <si>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</si>
  <si>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</si>
  <si>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</si>
  <si>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</si>
  <si>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</si>
  <si>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</si>
  <si>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</si>
  <si>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</si>
  <si>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</si>
  <si>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</si>
  <si>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</si>
  <si>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</si>
  <si>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</si>
  <si>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</si>
  <si>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</si>
  <si>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</si>
  <si>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</si>
  <si>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</si>
  <si>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</si>
  <si>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</si>
  <si>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</si>
  <si>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</si>
  <si>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</si>
  <si>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</si>
  <si>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</si>
  <si>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</si>
  <si>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</si>
  <si>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</si>
  <si>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</si>
  <si>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</si>
  <si>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</si>
  <si>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</si>
  <si>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</si>
  <si>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</si>
  <si>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</si>
  <si>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</si>
  <si>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</si>
  <si>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</si>
  <si>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</si>
  <si>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</si>
  <si>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</si>
  <si>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</si>
  <si>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</si>
  <si>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</si>
  <si>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</si>
  <si>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</si>
  <si>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</si>
  <si>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</si>
  <si>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</si>
  <si>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</si>
  <si>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</si>
  <si>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</si>
  <si>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</si>
  <si>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</si>
  <si>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</si>
  <si>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</si>
  <si>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</si>
  <si>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</si>
  <si>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</si>
  <si>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</si>
  <si>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</si>
  <si>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</si>
  <si>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</si>
  <si>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</si>
  <si>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</si>
  <si>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</si>
  <si>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</si>
  <si>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</si>
  <si>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</si>
  <si>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</si>
  <si>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</si>
  <si>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</si>
  <si>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</si>
  <si>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</si>
  <si>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</si>
  <si>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</si>
  <si>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</si>
  <si>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</si>
  <si>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</si>
  <si>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</si>
  <si>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</si>
  <si>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</si>
  <si>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</si>
  <si>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</si>
  <si>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</si>
  <si>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</si>
  <si>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</si>
  <si>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</si>
  <si>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</si>
  <si>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</si>
  <si>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</si>
  <si>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</si>
  <si>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</si>
  <si>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</si>
  <si>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</si>
  <si>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</si>
  <si>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</si>
  <si>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</si>
  <si>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</si>
  <si>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</si>
  <si>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</si>
  <si>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</si>
  <si>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</si>
  <si>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</si>
  <si>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</si>
  <si>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</si>
  <si>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</si>
  <si>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</si>
  <si>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</si>
  <si>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</si>
  <si>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</si>
  <si>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</si>
  <si>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</si>
  <si>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</si>
  <si>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</si>
  <si>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</si>
  <si>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</si>
  <si>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</si>
  <si>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</si>
  <si>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</si>
  <si>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</si>
  <si>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</si>
  <si>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</si>
  <si>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</si>
  <si>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</si>
  <si>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</si>
  <si>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</si>
  <si>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</si>
  <si>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</si>
  <si>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</si>
  <si>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</si>
  <si>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</si>
  <si>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</si>
  <si>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</si>
  <si>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</si>
  <si>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</si>
  <si>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</si>
  <si>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</si>
  <si>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</si>
  <si>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</si>
  <si>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</si>
  <si>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</si>
  <si>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</si>
  <si>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</si>
  <si>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</si>
  <si>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</si>
  <si>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</si>
  <si>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</si>
  <si>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</si>
  <si>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</si>
  <si>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</si>
  <si>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</si>
  <si>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</si>
  <si>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</si>
  <si>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</si>
  <si>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</si>
  <si>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</si>
  <si>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</si>
  <si>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</si>
  <si>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</si>
  <si>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</si>
  <si>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</si>
  <si>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</si>
  <si>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</si>
  <si>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</si>
  <si>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</si>
  <si>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</si>
  <si>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</si>
  <si>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</si>
  <si>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</si>
  <si>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</si>
  <si>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</si>
  <si>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</si>
  <si>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</si>
  <si>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</si>
  <si>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</si>
  <si>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</si>
  <si>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</si>
  <si>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</si>
  <si>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</si>
  <si>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</si>
  <si>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</si>
  <si>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</si>
  <si>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</si>
  <si>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</si>
  <si>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</si>
  <si>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</si>
  <si>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</si>
  <si>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</si>
  <si>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</si>
  <si>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</si>
  <si>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</si>
  <si>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</si>
  <si>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</si>
  <si>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</si>
  <si>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</si>
  <si>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</si>
  <si>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</si>
  <si>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</si>
  <si>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</si>
  <si>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</si>
  <si>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</si>
  <si>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</si>
  <si>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</si>
  <si>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</si>
  <si>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</si>
  <si>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</si>
  <si>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</si>
  <si>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</si>
  <si>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</si>
  <si>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</si>
  <si>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</si>
  <si>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</si>
  <si>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</si>
  <si>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</si>
  <si>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</si>
  <si>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</si>
  <si>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</si>
  <si>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</si>
  <si>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</si>
  <si>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</si>
  <si>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</si>
  <si>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</si>
  <si>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</si>
  <si>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</si>
  <si>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</si>
  <si>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</si>
  <si>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</si>
  <si>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</si>
  <si>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</si>
  <si>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</si>
  <si>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</si>
  <si>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</si>
  <si>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</si>
  <si>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</si>
  <si>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</si>
  <si>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</si>
  <si>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</si>
  <si>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</si>
  <si>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</si>
  <si>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</si>
  <si>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</si>
  <si>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</si>
  <si>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</si>
  <si>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</si>
  <si>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</si>
  <si>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</si>
  <si>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</si>
  <si>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</si>
  <si>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</si>
  <si>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</si>
  <si>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</si>
  <si>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</si>
  <si>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</si>
  <si>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</si>
  <si>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</si>
  <si>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</si>
  <si>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</si>
  <si>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</si>
  <si>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</si>
  <si>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</si>
  <si>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</si>
  <si>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</si>
  <si>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</si>
  <si>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</si>
  <si>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</si>
  <si>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</si>
  <si>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</si>
  <si>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</si>
  <si>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</si>
  <si>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</si>
  <si>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</si>
  <si>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</si>
  <si>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</si>
  <si>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</si>
  <si>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</si>
  <si>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</si>
  <si>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</si>
  <si>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</si>
  <si>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</si>
  <si>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</si>
  <si>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</si>
  <si>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</si>
  <si>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</si>
  <si>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</si>
  <si>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</si>
  <si>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</si>
  <si>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</si>
  <si>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</si>
  <si>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</si>
  <si>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</si>
  <si>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</si>
  <si>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</si>
  <si>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</si>
  <si>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</si>
  <si>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</si>
  <si>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</si>
  <si>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</si>
  <si>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</si>
  <si>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</si>
  <si>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</si>
  <si>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</si>
  <si>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</si>
  <si>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</si>
  <si>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</si>
  <si>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</si>
  <si>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</si>
  <si>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</si>
  <si>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</si>
  <si>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</si>
  <si>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</si>
  <si>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</si>
  <si>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</si>
  <si>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</si>
  <si>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</si>
  <si>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</si>
  <si>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</si>
  <si>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</si>
  <si>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</si>
  <si>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</si>
  <si>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</si>
  <si>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</si>
  <si>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</si>
  <si>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</si>
  <si>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</si>
  <si>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</si>
  <si>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</si>
  <si>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</si>
  <si>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</si>
  <si>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</si>
  <si>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</si>
  <si>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</si>
  <si>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</si>
  <si>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</si>
  <si>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</si>
  <si>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</si>
  <si>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</si>
  <si>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</si>
  <si>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</si>
  <si>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</si>
  <si>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</si>
  <si>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</si>
  <si>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</si>
  <si>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</si>
  <si>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</si>
  <si>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</si>
  <si>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</si>
  <si>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</si>
  <si>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</si>
  <si>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</si>
  <si>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</si>
  <si>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</si>
  <si>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</si>
  <si>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</si>
  <si>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</si>
  <si>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</si>
  <si>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</si>
  <si>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</si>
  <si>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</si>
  <si>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</si>
  <si>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</si>
  <si>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</si>
  <si>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</si>
  <si>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</si>
  <si>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</si>
  <si>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</si>
  <si>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</si>
  <si>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</si>
  <si>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</si>
  <si>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</si>
  <si>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</si>
  <si>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</si>
  <si>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</si>
  <si>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</si>
  <si>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</si>
  <si>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</si>
  <si>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</si>
  <si>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</si>
  <si>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</si>
  <si>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</si>
  <si>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</si>
  <si>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</si>
  <si>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</si>
  <si>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</si>
  <si>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</si>
  <si>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</si>
  <si>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</si>
  <si>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</si>
  <si>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</si>
  <si>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</si>
  <si>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</si>
  <si>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</si>
  <si>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</si>
  <si>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</si>
  <si>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</si>
  <si>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</si>
  <si>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</si>
  <si>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</si>
  <si>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</si>
  <si>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</si>
  <si>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</si>
  <si>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</si>
  <si>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4111002</t>
  </si>
  <si>
    <t>ยาแก้ปวดลดไข้</t>
  </si>
  <si>
    <t>4111003</t>
  </si>
  <si>
    <t>ยาแก้ไข้หวัด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</si>
  <si>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</si>
  <si>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</si>
  <si>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</si>
  <si>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</si>
  <si>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</si>
  <si>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</si>
  <si>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</si>
  <si>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</si>
  <si>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</si>
  <si>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</si>
  <si>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</si>
  <si>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</si>
  <si>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</si>
  <si>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</si>
  <si>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</si>
  <si>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</si>
  <si>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</si>
  <si>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</si>
  <si>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</si>
  <si>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</si>
  <si>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</si>
  <si>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</si>
  <si>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</si>
  <si>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</si>
  <si>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</si>
  <si>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</si>
  <si>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</si>
  <si>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</si>
  <si>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</si>
  <si>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</si>
  <si>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</si>
  <si>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</si>
  <si>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</si>
  <si>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</si>
  <si>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</si>
  <si>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</si>
  <si>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</si>
  <si>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</si>
  <si>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</si>
  <si>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</si>
  <si>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</si>
  <si>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</si>
  <si>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</si>
  <si>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</si>
  <si>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</si>
  <si>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</si>
  <si>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</si>
  <si>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</si>
  <si>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</si>
  <si>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</si>
  <si>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</si>
  <si>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</si>
  <si>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</si>
  <si>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</si>
  <si>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</si>
  <si>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</si>
  <si>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</si>
  <si>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</si>
  <si>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</si>
  <si>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</si>
  <si>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</si>
  <si>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</si>
  <si>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</si>
  <si>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</si>
  <si>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</si>
  <si>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</si>
  <si>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</si>
  <si>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</si>
  <si>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</si>
  <si>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</si>
  <si>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</si>
  <si>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</si>
  <si>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</si>
  <si>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</si>
  <si>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</si>
  <si>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</si>
  <si>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</si>
  <si>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</si>
  <si>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</si>
  <si>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</si>
  <si>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</si>
  <si>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</si>
  <si>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</si>
  <si>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</si>
  <si>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</si>
  <si>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</si>
  <si>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</si>
  <si>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</si>
  <si>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</si>
  <si>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</si>
  <si>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</si>
  <si>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</si>
  <si>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</si>
  <si>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</si>
  <si>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</si>
  <si>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</si>
  <si>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</si>
  <si>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</si>
  <si>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</si>
  <si>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</si>
  <si>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</si>
  <si>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</si>
  <si>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</si>
  <si>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</si>
  <si>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</si>
  <si>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</si>
  <si>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</si>
  <si>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</si>
  <si>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</si>
  <si>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</si>
  <si>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</si>
  <si>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</si>
  <si>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</si>
  <si>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</si>
  <si>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</si>
  <si>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</si>
  <si>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</si>
  <si>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</si>
  <si>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</si>
  <si>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</si>
  <si>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</si>
  <si>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</si>
  <si>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</si>
  <si>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</si>
  <si>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</si>
  <si>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</si>
  <si>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</si>
  <si>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</si>
  <si>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</si>
  <si>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</t>
  </si>
  <si>
    <t>2แหล่ง (2หยาบ/2อ่อนนุ่ม)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</si>
  <si>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</si>
  <si>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</si>
  <si>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</si>
  <si>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</si>
  <si>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</si>
  <si>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</si>
  <si>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</si>
  <si>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</si>
  <si>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</si>
  <si>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</si>
  <si>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</si>
  <si>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</si>
  <si>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</si>
  <si>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</si>
  <si>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</si>
  <si>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</si>
  <si>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</si>
  <si>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</si>
  <si>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</si>
  <si>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</si>
  <si>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</si>
  <si>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</si>
  <si>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</si>
  <si>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</si>
  <si>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</si>
  <si>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</si>
  <si>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</si>
  <si>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</si>
  <si>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</si>
  <si>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</si>
  <si>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</si>
  <si>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</si>
  <si>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</si>
  <si>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</si>
  <si>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</si>
  <si>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</si>
  <si>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</si>
  <si>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</si>
  <si>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</si>
  <si>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</si>
  <si>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</si>
  <si>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</si>
  <si>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</si>
  <si>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</si>
  <si>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</si>
  <si>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</si>
  <si>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</si>
  <si>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</si>
  <si>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</si>
  <si>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</si>
  <si>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</si>
  <si>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</si>
  <si>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</si>
  <si>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</si>
  <si>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</si>
  <si>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</si>
  <si>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</si>
  <si>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</si>
  <si>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</si>
  <si>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</si>
  <si>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</si>
  <si>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</si>
  <si>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</si>
  <si>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</si>
  <si>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</si>
  <si>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</si>
  <si>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</si>
  <si>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</si>
  <si>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</si>
  <si>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</si>
  <si>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</si>
  <si>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</si>
  <si>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</si>
  <si>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</si>
  <si>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</si>
  <si>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</si>
  <si>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</si>
  <si>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</si>
  <si>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</si>
  <si>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</si>
  <si>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</si>
  <si>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</si>
  <si>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</si>
  <si>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</si>
  <si>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</si>
  <si>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</si>
  <si>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</si>
  <si>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</si>
  <si>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</si>
  <si>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</si>
  <si>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</si>
  <si>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</si>
  <si>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</si>
  <si>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</si>
  <si>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</si>
  <si>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</si>
  <si>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</si>
  <si>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</si>
  <si>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</si>
  <si>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</si>
  <si>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</si>
  <si>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</si>
  <si>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</si>
  <si>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</si>
  <si>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</si>
  <si>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</si>
  <si>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</si>
  <si>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</si>
  <si>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</si>
  <si>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</si>
  <si>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</si>
  <si>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</si>
  <si>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</si>
  <si>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</si>
  <si>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</si>
  <si>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</si>
  <si>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</si>
  <si>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</si>
  <si>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</si>
  <si>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</si>
  <si>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</si>
  <si>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</si>
  <si>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</si>
  <si>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</si>
  <si>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</si>
  <si>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</si>
  <si>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</si>
  <si>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</si>
  <si>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</si>
  <si>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</si>
  <si>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</si>
  <si>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</si>
  <si>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</si>
  <si>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</si>
  <si>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</si>
  <si>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</si>
  <si>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</si>
  <si>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</si>
  <si>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</si>
  <si>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</si>
  <si>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</si>
  <si>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</si>
  <si>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</si>
  <si>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</si>
  <si>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</si>
  <si>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</si>
  <si>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</si>
  <si>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</si>
  <si>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</si>
  <si>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</si>
  <si>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</si>
  <si>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</si>
  <si>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</si>
  <si>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</si>
  <si>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</si>
  <si>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</si>
  <si>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</si>
  <si>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</si>
  <si>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</si>
  <si>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</si>
  <si>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</si>
  <si>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</si>
  <si>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</si>
  <si>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</si>
  <si>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</si>
  <si>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</si>
  <si>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</si>
  <si>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</si>
  <si>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</si>
  <si>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</si>
  <si>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</si>
  <si>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</si>
  <si>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</si>
  <si>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</si>
  <si>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</si>
  <si>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</si>
  <si>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</si>
  <si>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</si>
  <si>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</si>
  <si>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</si>
  <si>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</si>
  <si>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</si>
  <si>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</si>
  <si>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</si>
  <si>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</si>
  <si>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</si>
  <si>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</si>
  <si>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</si>
  <si>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</si>
  <si>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</si>
  <si>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</si>
  <si>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</si>
  <si>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</si>
  <si>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</si>
  <si>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</si>
  <si>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</si>
  <si>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</si>
  <si>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</si>
  <si>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</si>
  <si>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</si>
  <si>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</si>
  <si>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</si>
  <si>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</si>
  <si>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</si>
  <si>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</si>
  <si>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</si>
  <si>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</si>
  <si>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</si>
  <si>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</si>
  <si>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</si>
  <si>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</si>
  <si>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</si>
  <si>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</si>
  <si>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</si>
  <si>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</si>
  <si>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</si>
  <si>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</si>
  <si>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</si>
  <si>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</si>
  <si>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</si>
  <si>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</si>
  <si>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</si>
  <si>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</si>
  <si>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</si>
  <si>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</si>
  <si>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</si>
  <si>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</si>
  <si>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</si>
  <si>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</si>
  <si>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</si>
  <si>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</si>
  <si>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</si>
  <si>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</si>
  <si>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</si>
  <si>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</si>
  <si>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</si>
  <si>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</si>
  <si>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</si>
  <si>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</si>
  <si>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</si>
  <si>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</si>
  <si>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</si>
  <si>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</si>
  <si>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</si>
  <si>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</si>
  <si>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</si>
  <si>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</si>
  <si>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</si>
  <si>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</si>
  <si>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</si>
  <si>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</si>
  <si>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</si>
  <si>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</si>
  <si>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</si>
  <si>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</si>
  <si>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</si>
  <si>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</si>
  <si>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</si>
  <si>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</si>
  <si>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</si>
  <si>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</si>
  <si>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</si>
  <si>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</si>
  <si>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</si>
  <si>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</si>
  <si>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</si>
  <si>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</si>
  <si>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</si>
  <si>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</si>
  <si>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</si>
  <si>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</si>
  <si>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</si>
  <si>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</si>
  <si>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</si>
  <si>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</si>
  <si>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</si>
  <si>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</si>
  <si>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</si>
  <si>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</si>
  <si>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</si>
  <si>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</si>
  <si>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</si>
  <si>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</si>
  <si>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</si>
  <si>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</si>
  <si>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</si>
  <si>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</si>
  <si>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</si>
  <si>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</si>
  <si>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</si>
  <si>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</si>
  <si>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</si>
  <si>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</si>
  <si>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</si>
  <si>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</si>
  <si>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</si>
  <si>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</si>
  <si>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</si>
  <si>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</si>
  <si>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</si>
  <si>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</si>
  <si>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</si>
  <si>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</si>
  <si>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</si>
  <si>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</si>
  <si>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</si>
  <si>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</si>
  <si>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</si>
  <si>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</si>
  <si>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</si>
  <si>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</si>
  <si>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</si>
  <si>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</si>
  <si>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</si>
  <si>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</si>
  <si>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</si>
  <si>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</si>
  <si>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</si>
  <si>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</si>
  <si>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</si>
  <si>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</si>
  <si>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</si>
  <si>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</si>
  <si>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</si>
  <si>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</si>
  <si>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</si>
  <si>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1แหล่ง 2สเปค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</si>
  <si>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</si>
  <si>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</si>
  <si>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</si>
  <si>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</si>
  <si>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</si>
  <si>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</si>
  <si>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</si>
  <si>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</si>
  <si>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</si>
  <si>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</si>
  <si>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</si>
  <si>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</si>
  <si>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</si>
  <si>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</si>
  <si>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</si>
  <si>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</si>
  <si>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</si>
  <si>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</si>
  <si>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</si>
  <si>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</si>
  <si>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</si>
  <si>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</si>
  <si>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</si>
  <si>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</si>
  <si>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</si>
  <si>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</si>
  <si>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</si>
  <si>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</si>
  <si>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</si>
  <si>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</si>
  <si>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</si>
  <si>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</si>
  <si>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</si>
  <si>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</si>
  <si>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</si>
  <si>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</si>
  <si>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</si>
  <si>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</si>
  <si>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</si>
  <si>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</si>
  <si>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</si>
  <si>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</si>
  <si>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</si>
  <si>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</si>
  <si>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</si>
  <si>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</si>
  <si>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</si>
  <si>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</si>
  <si>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</si>
  <si>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</si>
  <si>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</si>
  <si>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</si>
  <si>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</si>
  <si>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</si>
  <si>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</si>
  <si>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</si>
  <si>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</si>
  <si>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</si>
  <si>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</si>
  <si>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</si>
  <si>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</si>
  <si>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</si>
  <si>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</si>
  <si>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</si>
  <si>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</si>
  <si>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</si>
  <si>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</si>
  <si>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</si>
  <si>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</si>
  <si>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</si>
  <si>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</si>
  <si>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</si>
  <si>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ชุดCPI</t>
  </si>
  <si>
    <t>ภาค</t>
  </si>
  <si>
    <t>อำเภอ</t>
  </si>
  <si>
    <t>จังหวัด/กลุ่ม</t>
  </si>
  <si>
    <t>ชุดอำเภอเมือง</t>
  </si>
  <si>
    <t>กรุงเทพมหานคร</t>
  </si>
  <si>
    <t>เมือง</t>
  </si>
  <si>
    <t>กลุ่มจตุจักร</t>
  </si>
  <si>
    <t>กลุ่มบางกะปิ</t>
  </si>
  <si>
    <t>กลุ่มบางบอน</t>
  </si>
  <si>
    <t>กลุ่มบางประกอก</t>
  </si>
  <si>
    <t>กลุ่มบางแค</t>
  </si>
  <si>
    <t>กลุ่มพระโขนง</t>
  </si>
  <si>
    <t>กลุ่มพรานนก</t>
  </si>
  <si>
    <t>กลุ่มมีนบุรี</t>
  </si>
  <si>
    <t>กลุ่มรุ่งเจริญพระราม3(บางรักเดิม)</t>
  </si>
  <si>
    <t>กลุ่มวงเวียนใหญ่</t>
  </si>
  <si>
    <t>กลุ่มสะพานใหม่</t>
  </si>
  <si>
    <t>กลุ่มห้วยขวาง</t>
  </si>
  <si>
    <t>กลุ่มเตาปูน</t>
  </si>
  <si>
    <t>กลุ่มเทเวศร์</t>
  </si>
  <si>
    <t>ใต้</t>
  </si>
  <si>
    <t>กระบี่</t>
  </si>
  <si>
    <t>กลาง</t>
  </si>
  <si>
    <t>กาญจนบุรี</t>
  </si>
  <si>
    <t>ตะวันออกเฉียงเหนือ</t>
  </si>
  <si>
    <t>กาฬสินธุ์</t>
  </si>
  <si>
    <t>ขอนแก่น</t>
  </si>
  <si>
    <t>จันทบุรี</t>
  </si>
  <si>
    <t>ฉะเชิงเทรา</t>
  </si>
  <si>
    <t>ชลบุรี</t>
  </si>
  <si>
    <t>ตรัง</t>
  </si>
  <si>
    <t>เหนือ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</si>
  <si>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</si>
  <si>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</si>
  <si>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</si>
  <si>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</si>
  <si>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</si>
  <si>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</si>
  <si>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</si>
  <si>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ปริมณฑล</t>
  </si>
  <si>
    <t>นนทบุรี</t>
  </si>
  <si>
    <t>นราธิวาส</t>
  </si>
  <si>
    <t>น่าน</t>
  </si>
  <si>
    <t>บึงกาฬ</t>
  </si>
  <si>
    <t>ปทุมธานี</t>
  </si>
  <si>
    <t>ประจวบคีรีขันธ์</t>
  </si>
  <si>
    <t>ปราจีนบุรี</t>
  </si>
  <si>
    <t>พระนครศรีอยุธยา</t>
  </si>
  <si>
    <t>พะเยา</t>
  </si>
  <si>
    <t>พังงา</t>
  </si>
  <si>
    <t>พิษณุโลก</t>
  </si>
  <si>
    <t>ภูเก็ต</t>
  </si>
  <si>
    <t>มุกดาหาร</t>
  </si>
  <si>
    <t>ยะลา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</si>
  <si>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</si>
  <si>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</si>
  <si>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</si>
  <si>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</si>
  <si>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</si>
  <si>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</si>
  <si>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ศรีสะเกษ</t>
  </si>
  <si>
    <t>สกลนคร</t>
  </si>
  <si>
    <t>สงขลา</t>
  </si>
  <si>
    <t>สมุทรปราการ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</si>
  <si>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</si>
  <si>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</si>
  <si>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</si>
  <si>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</si>
  <si>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</si>
  <si>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หนองคาย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</si>
  <si>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</si>
  <si>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</si>
  <si>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</si>
  <si>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</si>
  <si>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</si>
  <si>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</si>
  <si>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</si>
  <si>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</si>
  <si>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</si>
  <si>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</si>
  <si>
    <t>ชุดนอกเขตเมือง</t>
  </si>
  <si>
    <t>อ่าวลึก</t>
  </si>
  <si>
    <t>พรานกระต่าย</t>
  </si>
  <si>
    <t>กำแพงเพชร</t>
  </si>
  <si>
    <t>ชนบท</t>
  </si>
  <si>
    <t>ท่าใหม่</t>
  </si>
  <si>
    <t>พนัสนิคม</t>
  </si>
  <si>
    <t>หันคา</t>
  </si>
  <si>
    <t>ชัยนาท</t>
  </si>
  <si>
    <t>ภูเขียว</t>
  </si>
  <si>
    <t>ชัยภูมิ</t>
  </si>
  <si>
    <t>หลังสวน</t>
  </si>
  <si>
    <t>ชุมพร</t>
  </si>
  <si>
    <t>ย่านตาขาว</t>
  </si>
  <si>
    <t>บ้านตาก</t>
  </si>
  <si>
    <t>ปักธงชัย</t>
  </si>
  <si>
    <t>ปากพนัง</t>
  </si>
  <si>
    <t>โกรกพระ</t>
  </si>
  <si>
    <t>กบินทร์บุรี</t>
  </si>
  <si>
    <t>บางปะอิน</t>
  </si>
  <si>
    <t>วังทอง</t>
  </si>
  <si>
    <t>นิคมคำสร้อย</t>
  </si>
  <si>
    <t>ยะหา</t>
  </si>
  <si>
    <t>ปากท่อ</t>
  </si>
  <si>
    <t>พัฒนานิคม</t>
  </si>
  <si>
    <t>ป่าซาง</t>
  </si>
  <si>
    <t>ลำพูน</t>
  </si>
  <si>
    <t>กันทรลักษ์</t>
  </si>
  <si>
    <t>ระโนด</t>
  </si>
  <si>
    <t>แก่งคอย</t>
  </si>
  <si>
    <t>สระบุรี</t>
  </si>
  <si>
    <t>อรัญประเทศ</t>
  </si>
  <si>
    <t>อู่ทอง</t>
  </si>
  <si>
    <t>ไชยา</t>
  </si>
  <si>
    <t>สังขะ</t>
  </si>
  <si>
    <t>ท่าบ่อ</t>
  </si>
  <si>
    <t>ปทุมราชวงศา</t>
  </si>
  <si>
    <t>อำนาจเจริญ</t>
  </si>
  <si>
    <t>กุมภวาปี</t>
  </si>
  <si>
    <t>พิชัย</t>
  </si>
  <si>
    <t>เขื่องใน</t>
  </si>
  <si>
    <t>เทิง</t>
  </si>
  <si>
    <t>จอมทอง</t>
  </si>
  <si>
    <t>ท่ายาง</t>
  </si>
  <si>
    <t>เด่นชัย</t>
  </si>
  <si>
    <t>Result</t>
  </si>
  <si>
    <t>Primary Keywords</t>
  </si>
  <si>
    <t>Sub Keywords</t>
  </si>
  <si>
    <t>ร้านอื่นๆ</t>
  </si>
  <si>
    <t>ร้านหน้าโลตัส, ปลาผา, WASH, Amazon, เอเมซอน, คาเฟ่, Cafe, ศูนย์อาหาร, อาหาร, ร้านยา, ขายยา, ข้าว, DRUG, เอเซ่เว่น</t>
  </si>
  <si>
    <t>ไทวัสดุ</t>
  </si>
  <si>
    <t>ไทวัสดุ, วัตดุ</t>
  </si>
  <si>
    <t>Watson</t>
  </si>
  <si>
    <t>วัตสัน, Watson</t>
  </si>
  <si>
    <t>Unico</t>
  </si>
  <si>
    <t>Uni</t>
  </si>
  <si>
    <t>Tops_daily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</si>
  <si>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</si>
  <si>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เดลี่</t>
  </si>
  <si>
    <t>Tops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</si>
  <si>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</si>
  <si>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The Mall</t>
  </si>
  <si>
    <t>เดอะมอลล์, mall, Mall</t>
  </si>
  <si>
    <t>Tesco Lotus</t>
  </si>
  <si>
    <t>โลตัส, Lotus, Tesco, โลตัล, Lotus's,โลตัส, Lotus, Tesco, โลตัล</t>
  </si>
  <si>
    <t>Seven Eleven</t>
  </si>
  <si>
    <t>7-ELEVEN, เซ่เว่น,อีเลฟเว่น, ELEVEN, 7 - 11, 7-11, 7-ELEVEN, เซเว่น, 7-Eleven, seven, SEVEN, Eleven, เซ่เว่น</t>
  </si>
  <si>
    <t>Powerbuy</t>
  </si>
  <si>
    <t>buy, พาวเวอร์</t>
  </si>
  <si>
    <t>MegaHome</t>
  </si>
  <si>
    <t>เมกะโฮม, MegaHome</t>
  </si>
  <si>
    <t>Maxvalue</t>
  </si>
  <si>
    <t>Maxvalue, แม็กซ์แวลู, Max Valu</t>
  </si>
  <si>
    <t>Makro</t>
  </si>
  <si>
    <t>แม็คโคร, แม็คโค, เเม็คโค, Makro,แม็คโค, เเม็คโค</t>
  </si>
  <si>
    <t>Lotus_gofresh</t>
  </si>
  <si>
    <t>โลตัส, tesco, Tesco, โลตัล, Lotus,โลตัส, Lotus, Tesco, โลตัล</t>
  </si>
  <si>
    <t>เฟรซ, เฟรช, โก, exp, gofresh, โก้</t>
  </si>
  <si>
    <t>Homepro</t>
  </si>
  <si>
    <t>โฮมโปร, Homepro</t>
  </si>
  <si>
    <t>Gourmet Market</t>
  </si>
  <si>
    <t>กูรเมต์, กูร์เมต์,กูร์เมต์,กรูเม่,Gourmet</t>
  </si>
  <si>
    <t>GlobalHouse</t>
  </si>
  <si>
    <t>โกบอล, โกลบอล, โกลบอน, Global</t>
  </si>
  <si>
    <t>DoHome</t>
  </si>
  <si>
    <t>ดโฮม, ดูโฮม, DoHome</t>
  </si>
  <si>
    <t>CP Freshmart</t>
  </si>
  <si>
    <t>เฟรชมาร์ท, Freshmat</t>
  </si>
  <si>
    <t>CJ EXPRESS</t>
  </si>
  <si>
    <t>CJ EXPRESS,CJ, ซี เจ, ซีเจ, Cj Express, Cj MORE</t>
  </si>
  <si>
    <t>Central</t>
  </si>
  <si>
    <t>เซนทรัล, CENTRAL, เซ็นทรัล,Central,Central,เซนทรัล, CENTRAL, เซ็นทรัล</t>
  </si>
  <si>
    <t>BigC_mini</t>
  </si>
  <si>
    <t>Big C, บิ๊กซี, บิกซี, BigC</t>
  </si>
  <si>
    <t>มินิ, Mini, mini</t>
  </si>
  <si>
    <t>Big C</t>
  </si>
  <si>
    <t>บิ๊กซี, บิกซี, Big C, Big-C,Big C, บิ๊กซี, บิกซี, Big-C, BigC</t>
  </si>
  <si>
    <t>รายชื่อ</t>
  </si>
  <si>
    <t>gmail</t>
  </si>
  <si>
    <t>phonkritkhanthom@gmail.com</t>
  </si>
  <si>
    <t>pao.tanapon.th@gmail.com</t>
  </si>
  <si>
    <t>ferne.works@gmail.com</t>
  </si>
  <si>
    <t>earnnysupawan@gmail.com</t>
  </si>
  <si>
    <t>vatanjinda@gmail.com</t>
  </si>
  <si>
    <t>chalaiporn.j619@gmail.com</t>
  </si>
  <si>
    <t>piyatakap@gmail.com</t>
  </si>
  <si>
    <t>missluk1234@gmail.com</t>
  </si>
  <si>
    <t>pattira.noon@gmail.com</t>
  </si>
  <si>
    <t>porpat26@gmail.com</t>
  </si>
  <si>
    <t>peetsoon5@gmail.com</t>
  </si>
  <si>
    <t>6360705047@pnu.ac.th</t>
  </si>
  <si>
    <t>chadaphon.m09@gmail.com</t>
  </si>
  <si>
    <t>boonyaporn.kiat@gmail.com</t>
  </si>
  <si>
    <t>วงศกร</t>
  </si>
  <si>
    <t>misarinysucy@gmail.com</t>
  </si>
  <si>
    <t>seapakapon40@gmail.com</t>
  </si>
  <si>
    <t>caranoz123456@gmail.com</t>
  </si>
  <si>
    <t>ศิรินภา</t>
  </si>
  <si>
    <t xml:space="preserve">              sirinapac.tukta@gmail.com</t>
  </si>
  <si>
    <t>waranyanoey@gmail.com</t>
  </si>
  <si>
    <t>prawpraw071145@gmail.com</t>
  </si>
  <si>
    <t>Nipaporn.bam.41@gmail.com</t>
  </si>
  <si>
    <t>น้ำหนักปีฐาน 2566</t>
  </si>
  <si>
    <t>re_code</t>
  </si>
  <si>
    <t>BKK</t>
  </si>
  <si>
    <t>CEN</t>
  </si>
  <si>
    <t>NOR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</si>
  <si>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</si>
  <si>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</si>
  <si>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</si>
  <si>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</si>
  <si>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</si>
  <si>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</si>
  <si>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</si>
  <si>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</si>
  <si>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</si>
  <si>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</si>
  <si>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</si>
  <si>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</si>
  <si>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</si>
  <si>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</si>
  <si>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</si>
  <si>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หมวดอาหารและเครื่องดื่มไม่มีแอลกอฮอล์</t>
  </si>
  <si>
    <t>อาหารปรุงที่บ้าน</t>
  </si>
  <si>
    <t>ข้าว แป้งและผลิตภัณฑ์จากแป้ง</t>
  </si>
  <si>
    <t>ข้าว</t>
  </si>
  <si>
    <t>แป้งและผลิตภัณฑ์จากแป้ง</t>
  </si>
  <si>
    <t>แป้ง</t>
  </si>
  <si>
    <t>ผลิตภัณฑ์จากแป้ง</t>
  </si>
  <si>
    <t>เนื้อสัตว์ เป็ดไก่ และสัตว์น้ำ</t>
  </si>
  <si>
    <t>เนื้อสัตว์</t>
  </si>
  <si>
    <t>เนื้อสัตว์สด</t>
  </si>
  <si>
    <t>เนื้อสัตว์แปรรูป</t>
  </si>
  <si>
    <t>เป็ด ไก่</t>
  </si>
  <si>
    <t>เป็ด ไก่ สด</t>
  </si>
  <si>
    <t>เป็ด ไก่ สำเร็จรูปและแปรรูป</t>
  </si>
  <si>
    <t>ปลาและสัตว์น้ำ</t>
  </si>
  <si>
    <t>ปลาน้ำจืดสด</t>
  </si>
  <si>
    <t>ปลาน้ำทะเลสด</t>
  </si>
  <si>
    <t>สัตว์น้ำ</t>
  </si>
  <si>
    <t>ปลาแปรรูป</t>
  </si>
  <si>
    <t>สัตว์น้ำแปรรูป</t>
  </si>
  <si>
    <t>ไข่และผลิตภัณฑ์นม</t>
  </si>
  <si>
    <t>ไข่</t>
  </si>
  <si>
    <t>นมและผลิตภัณฑ์นม</t>
  </si>
  <si>
    <t>ผักและผลไม้</t>
  </si>
  <si>
    <t>ผักสดแปรรูปและอื่นๆ</t>
  </si>
  <si>
    <t>ผักสด</t>
  </si>
  <si>
    <t>ผักแปรรูปและอื่นๆ</t>
  </si>
  <si>
    <t>ผลไม้สดแปรรูปและอื่นๆ</t>
  </si>
  <si>
    <t>ผลไม้สด</t>
  </si>
  <si>
    <t>อโวคาโด้</t>
  </si>
  <si>
    <t>ผลไม้แปรรูปและอื่น ๆ</t>
  </si>
  <si>
    <t>เครื่องประกอบอาหาร</t>
  </si>
  <si>
    <t>เครื่องปรุงอาหาร</t>
  </si>
  <si>
    <t>น้ำมันและไขมัน</t>
  </si>
  <si>
    <t>เครื่องดื่มไม่มีแอลกอฮอล์</t>
  </si>
  <si>
    <t>เครื่องดื่มรสชอกโกแลต</t>
  </si>
  <si>
    <t>น้ำตาลและขนมหวาน</t>
  </si>
  <si>
    <t>ผลิตภัณฑ์น้ำตาล</t>
  </si>
  <si>
    <t>อาหารสำเร็จรูป</t>
  </si>
  <si>
    <t>อาหารพร้อมทาน</t>
  </si>
  <si>
    <t>อาหารจากร้านยอดนิยม</t>
  </si>
  <si>
    <t>อาหารฟาสต์ฟู้ด/delivery</t>
  </si>
  <si>
    <t>หมวดเครื่องนุ่งห่มและรองเท้า</t>
  </si>
  <si>
    <t>ผ้าและเสื้อผ้า</t>
  </si>
  <si>
    <t>บุรุษ</t>
  </si>
  <si>
    <t>เครื่องแบบชาย</t>
  </si>
  <si>
    <t>เสื้อบุรุษ</t>
  </si>
  <si>
    <t>กางเกงบุรุษ</t>
  </si>
  <si>
    <t>เสื้อผ้าบุรุษอื่นๆ</t>
  </si>
  <si>
    <t>เครื่องประดับบุรุษ</t>
  </si>
  <si>
    <t>สตรี</t>
  </si>
  <si>
    <t>เครื่องแบบหญิง</t>
  </si>
  <si>
    <t>กางเกงสตรีและกระโปรงสตรี</t>
  </si>
  <si>
    <t>เสื้อผ้าสตรีอื่นๆ</t>
  </si>
  <si>
    <t>เด็ก</t>
  </si>
  <si>
    <t>เครื่องแบบเด็ก</t>
  </si>
  <si>
    <t>เสื้อเด็ก</t>
  </si>
  <si>
    <t>กางเกงเด็ก</t>
  </si>
  <si>
    <t>เสื้อผ้าเด็กอื่นๆ</t>
  </si>
  <si>
    <t>ค่าจ้างตัดเย็บและอุปกรณ์</t>
  </si>
  <si>
    <t>ค่าจ้าง</t>
  </si>
  <si>
    <t>ผลิตภัณฑ์รองเท้า</t>
  </si>
  <si>
    <t>รองเท้าบุรุษ</t>
  </si>
  <si>
    <t>รองเท้าหุ้มส้นบุรุษ</t>
  </si>
  <si>
    <t>รองเท้ากีฬาและผ้าใบบุรุษ</t>
  </si>
  <si>
    <t>รองเท้าแตะบุรุษ</t>
  </si>
  <si>
    <t>รองเท้าสตรี</t>
  </si>
  <si>
    <t>รองเท้าหุ้มส้นสตรี</t>
  </si>
  <si>
    <t>รองเท้ากีฬาและผ้าใบสตรี</t>
  </si>
  <si>
    <t>รองเท้าแตะสตรี</t>
  </si>
  <si>
    <t>รองเท้าเด็ก</t>
  </si>
  <si>
    <t>รองเท้าหุ้มส้นเด็ก</t>
  </si>
  <si>
    <t>รองเท้ากีฬาและผ้าใบเด็ก</t>
  </si>
  <si>
    <t>รองเท้าแตะเด็ก</t>
  </si>
  <si>
    <t>ค่าซ่อมแซมและดูแลรักษา</t>
  </si>
  <si>
    <t>ค่าซ่อมแซม</t>
  </si>
  <si>
    <t>หมวดเคหสถาน</t>
  </si>
  <si>
    <t>ค่าที่พักอาศัย</t>
  </si>
  <si>
    <t>ค่าเช่า</t>
  </si>
  <si>
    <t>การประกันอัคคีภัย</t>
  </si>
  <si>
    <t>วัสดุก่อสร้าง</t>
  </si>
  <si>
    <t>เครื่องสุขภัณฑ์</t>
  </si>
  <si>
    <t>ค่าแรง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</si>
  <si>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</si>
  <si>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</si>
  <si>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</si>
  <si>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ไฟฟ้า เชื้อเพลิง น้ำประปาและแสงสว่าง</t>
  </si>
  <si>
    <t>ไฟฟ้า</t>
  </si>
  <si>
    <t>เชื้อเพลิงในบ้าน</t>
  </si>
  <si>
    <t>น้ำประปา</t>
  </si>
  <si>
    <t>แสงสว่าง</t>
  </si>
  <si>
    <t>สิ่งทอสำหรับใช้ในบ้าน</t>
  </si>
  <si>
    <t>เครื่องใช้เบ็ดเตล็ดในบ้าน</t>
  </si>
  <si>
    <t>เครื่องแต่งบ้านและบริภัณฑ์อื่นๆ</t>
  </si>
  <si>
    <t>เครื่องแต่งบ้าน</t>
  </si>
  <si>
    <t>บริภัณฑ์อื่น ๆ</t>
  </si>
  <si>
    <t>สิ่งที่เกี่ยวกับทำความสะอาด</t>
  </si>
  <si>
    <t>คนรับใช้ / คนงาน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</si>
  <si>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</si>
  <si>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</si>
  <si>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</si>
  <si>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</si>
  <si>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เวชภัณฑ์</t>
  </si>
  <si>
    <t>ค่ารักษาพยาบาล</t>
  </si>
  <si>
    <t>คนไข้นอก</t>
  </si>
  <si>
    <t>ค่าตรวจโรค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</si>
  <si>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</si>
  <si>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</si>
  <si>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ค่าทำฟัน</t>
  </si>
  <si>
    <t>ค่าตรวจสายตา</t>
  </si>
  <si>
    <t>ค่าบริการอื่น ๆ</t>
  </si>
  <si>
    <t>ค่าตรวจวินิจฉัยทางห้องปฏิบัติการ</t>
  </si>
  <si>
    <t>คนไข้ใน</t>
  </si>
  <si>
    <t>ค่าห้องพักคนไข้</t>
  </si>
  <si>
    <t>ค่าตรวจรักษา ค่าบริการ และค่ายา</t>
  </si>
  <si>
    <t>ค่าใช้จ่ายส่วนบุคคล</t>
  </si>
  <si>
    <t>ค่าของใช้ส่วนบุคคล</t>
  </si>
  <si>
    <t>ค่าบริการส่วนบุคคล</t>
  </si>
  <si>
    <t>ค่าบริการส่วนบุคคลเพื่อความสวยงาม</t>
  </si>
  <si>
    <t>ค่าบริการส่วนบุคคลเพื่อความผ่านคลาย</t>
  </si>
  <si>
    <t>ค่าบัตรประกันสุขภาพและประกันชีวิต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</si>
  <si>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</si>
  <si>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</si>
  <si>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</si>
  <si>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ค่าโดยสารนอกท้องถิ่น</t>
  </si>
  <si>
    <t>ยานพาหนะและน้ำมันเชื้อเพลิง</t>
  </si>
  <si>
    <t>ค่าซื้อยานพาหนะ</t>
  </si>
  <si>
    <t>ยานพาหนะ</t>
  </si>
  <si>
    <t>อุปกรณ์ยานพาหนะ</t>
  </si>
  <si>
    <t>น้ำมันเชื้อเพลิง</t>
  </si>
  <si>
    <t>ค่าบริการบำรุงรักษายานยนต์</t>
  </si>
  <si>
    <t>ค่าภาษีและประกันภัยรถยนต์</t>
  </si>
  <si>
    <t>ค่าภาษี</t>
  </si>
  <si>
    <t>ค่าประกันภัยรถ</t>
  </si>
  <si>
    <t>ค่าใช้จ่ายที่เกี่ยวกับรถ</t>
  </si>
  <si>
    <t>ค่าตรวจสภาพรถยนต์</t>
  </si>
  <si>
    <t>การสื่อสาร</t>
  </si>
  <si>
    <t>ค่าบริการการสื่อสาร</t>
  </si>
  <si>
    <t>เครื่องรับอุปกรณ์สื่อสาร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</si>
  <si>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</si>
  <si>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</si>
  <si>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</si>
  <si>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ค่าอุปกรณ์กีฬาและเครื่องเล่น</t>
  </si>
  <si>
    <t>ของเล่น</t>
  </si>
  <si>
    <t>ค่าการบันเทิง</t>
  </si>
  <si>
    <t>ค่าใช้จ่ายเกี่ยวกับสัตว์เลี้ยง</t>
  </si>
  <si>
    <t>ค่าใช้จ่ายเกี่ยวกับการทำสวนประดับบ้าน</t>
  </si>
  <si>
    <t>ค่าอุปกรณ์การบันเทิง</t>
  </si>
  <si>
    <t>ค่าใช้จ่ายเกี่ยวกับการอ่าน</t>
  </si>
  <si>
    <t>ค่าใช้จ่ายในการเดินทางโอกาสพิเศษและท่องเที่ยว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</si>
  <si>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</si>
  <si>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</si>
  <si>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</si>
  <si>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การศึกษาระดับมัธยมศึกษาสายสามัญ</t>
  </si>
  <si>
    <t>การศึกษาระดับมัธยมศึกษา ด้านเทคนิคและอาชีวะ</t>
  </si>
  <si>
    <t>การศึกษาระดับอุดมศึกษา</t>
  </si>
  <si>
    <t>หนังสือและอุปกรณ์การศึกษา</t>
  </si>
  <si>
    <t>หนังสือ</t>
  </si>
  <si>
    <t>หนังสือแบบเรียนเอกชน</t>
  </si>
  <si>
    <t>อุปกรณ์เกี่ยวกับการศึกษา</t>
  </si>
  <si>
    <t>ค่าใช้จ่ายอื่น ๆ เกี่ยวกับการศึกษา</t>
  </si>
  <si>
    <t>การศาสนา</t>
  </si>
  <si>
    <t>ค่าอาหาร ของถวายพระ ไหว้เจ้าและอื่น ๆ</t>
  </si>
  <si>
    <t>หมวดยาสูบและเครื่องดื่มมีแอลกอฮอล์</t>
  </si>
  <si>
    <t>ผลิตภัณฑ์ยาสูบ</t>
  </si>
  <si>
    <t>เครื่องดื่มมีแอลกอฮอลล์</t>
  </si>
  <si>
    <t>ผลิตภัณฑ์เบียร์</t>
  </si>
  <si>
    <t>ผลิตภัณฑ์ไวน์</t>
  </si>
  <si>
    <t>ผลิตภัณฑ์สุรา</t>
  </si>
  <si>
    <t>หมวดอื่น ๆ ไม่ใช่อาหาร และเครื่องดื่ม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</si>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</sst>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2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Tahoma"/>
    </font>
    <font>
      <b/>
      <color rgb="FFFF0000"/>
      <name val="Calibri"/>
      <scheme val="minor"/>
    </font>
    <font>
      <b/>
      <sz val="11.0"/>
      <color rgb="FFFF0000"/>
      <name val="Tahoma"/>
    </font>
    <font>
      <b/>
      <sz val="13.0"/>
      <color rgb="FFFF0000"/>
      <name val="Calibri"/>
      <scheme val="minor"/>
    </font>
    <font>
      <b/>
      <u/>
      <sz val="11.0"/>
      <color rgb="FF0000FF"/>
      <name val="Calibri"/>
    </font>
    <font>
      <sz val="11.0"/>
      <color theme="1"/>
      <name val="Tahoma"/>
    </font>
    <font>
      <b/>
      <sz val="11.0"/>
      <color rgb="FF1F1F1F"/>
      <name val="Arial"/>
    </font>
    <font>
      <sz val="11.0"/>
      <color rgb="FF1F1F1F"/>
      <name val="Arial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sz val="14.0"/>
      <color rgb="FF0000FF"/>
      <name val="Calibri"/>
    </font>
    <font>
      <u/>
      <sz val="14.0"/>
      <color theme="10"/>
      <name val="Calibri"/>
    </font>
    <font>
      <u/>
      <sz val="14.0"/>
      <color rgb="FF0000FF"/>
      <name val="Calibri"/>
    </font>
    <font>
      <sz val="18.0"/>
      <color theme="1"/>
      <name val="Calibri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</fills>
  <borders count="46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49" xfId="0" applyAlignment="1" applyBorder="1" applyFont="1" applyNumberFormat="1">
      <alignment horizontal="center" vertical="top"/>
    </xf>
    <xf borderId="3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4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3" fontId="5" numFmtId="0" xfId="0" applyAlignment="1" applyBorder="1" applyFill="1" applyFont="1">
      <alignment horizontal="left" readingOrder="0"/>
    </xf>
    <xf borderId="0" fillId="0" fontId="5" numFmtId="0" xfId="0" applyFont="1"/>
    <xf borderId="6" fillId="4" fontId="5" numFmtId="0" xfId="0" applyBorder="1" applyFill="1" applyFont="1"/>
    <xf borderId="7" fillId="4" fontId="5" numFmtId="0" xfId="0" applyBorder="1" applyFont="1"/>
    <xf borderId="8" fillId="4" fontId="5" numFmtId="0" xfId="0" applyAlignment="1" applyBorder="1" applyFont="1">
      <alignment horizontal="center"/>
    </xf>
    <xf borderId="9" fillId="4" fontId="5" numFmtId="0" xfId="0" applyAlignment="1" applyBorder="1" applyFont="1">
      <alignment horizontal="center"/>
    </xf>
    <xf borderId="10" fillId="3" fontId="5" numFmtId="0" xfId="0" applyBorder="1" applyFont="1"/>
    <xf borderId="10" fillId="3" fontId="5" numFmtId="0" xfId="0" applyAlignment="1" applyBorder="1" applyFont="1">
      <alignment horizontal="center" readingOrder="0"/>
    </xf>
    <xf borderId="11" fillId="4" fontId="5" numFmtId="49" xfId="0" applyAlignment="1" applyBorder="1" applyFont="1" applyNumberFormat="1">
      <alignment horizontal="center"/>
    </xf>
    <xf borderId="12" fillId="5" fontId="2" numFmtId="0" xfId="0" applyBorder="1" applyFill="1" applyFont="1"/>
    <xf borderId="13" fillId="6" fontId="2" numFmtId="0" xfId="0" applyAlignment="1" applyBorder="1" applyFill="1" applyFont="1">
      <alignment horizontal="center" readingOrder="0" shrinkToFit="0" vertical="bottom" wrapText="0"/>
    </xf>
    <xf borderId="0" fillId="7" fontId="2" numFmtId="0" xfId="0" applyAlignment="1" applyFill="1" applyFont="1">
      <alignment horizontal="center" readingOrder="0" shrinkToFit="0" vertical="bottom" wrapText="0"/>
    </xf>
    <xf borderId="0" fillId="7" fontId="2" numFmtId="0" xfId="0" applyAlignment="1" applyFont="1">
      <alignment horizontal="left" readingOrder="0" shrinkToFit="0" vertical="bottom" wrapText="0"/>
    </xf>
    <xf borderId="0" fillId="7" fontId="6" numFmtId="0" xfId="0" applyAlignment="1" applyFont="1">
      <alignment horizontal="center" readingOrder="0" shrinkToFit="0" vertical="bottom" wrapText="0"/>
    </xf>
    <xf borderId="0" fillId="7" fontId="7" numFmtId="0" xfId="0" applyAlignment="1" applyFont="1">
      <alignment horizontal="left" readingOrder="0" shrinkToFit="0" vertical="bottom" wrapText="0"/>
    </xf>
    <xf borderId="13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4" fillId="3" fontId="8" numFmtId="0" xfId="0" applyBorder="1" applyFont="1"/>
    <xf borderId="15" fillId="4" fontId="5" numFmtId="0" xfId="0" applyBorder="1" applyFont="1"/>
    <xf borderId="16" fillId="4" fontId="5" numFmtId="0" xfId="0" applyBorder="1" applyFont="1"/>
    <xf borderId="11" fillId="4" fontId="5" numFmtId="0" xfId="0" applyAlignment="1" applyBorder="1" applyFont="1">
      <alignment horizontal="center"/>
    </xf>
    <xf borderId="17" fillId="4" fontId="5" numFmtId="0" xfId="0" applyAlignment="1" applyBorder="1" applyFont="1">
      <alignment horizontal="center"/>
    </xf>
    <xf borderId="18" fillId="3" fontId="8" numFmtId="0" xfId="0" applyBorder="1" applyFont="1"/>
    <xf borderId="19" fillId="3" fontId="9" numFmtId="0" xfId="0" applyAlignment="1" applyBorder="1" applyFont="1">
      <alignment horizontal="center" readingOrder="0" shrinkToFit="0" vertical="bottom" wrapText="0"/>
    </xf>
    <xf borderId="20" fillId="3" fontId="6" numFmtId="0" xfId="0" applyAlignment="1" applyBorder="1" applyFont="1">
      <alignment horizontal="center" readingOrder="0" shrinkToFit="0" vertical="bottom" wrapText="0"/>
    </xf>
    <xf borderId="21" fillId="3" fontId="8" numFmtId="0" xfId="0" applyAlignment="1" applyBorder="1" applyFont="1">
      <alignment horizontal="center"/>
    </xf>
    <xf borderId="22" fillId="5" fontId="2" numFmtId="0" xfId="0" applyBorder="1" applyFont="1"/>
    <xf borderId="18" fillId="3" fontId="6" numFmtId="0" xfId="0" applyAlignment="1" applyBorder="1" applyFont="1">
      <alignment horizontal="center" readingOrder="0" shrinkToFit="0" vertical="bottom" wrapText="0"/>
    </xf>
    <xf borderId="19" fillId="3" fontId="8" numFmtId="0" xfId="0" applyAlignment="1" applyBorder="1" applyFont="1">
      <alignment horizontal="center"/>
    </xf>
    <xf borderId="13" fillId="6" fontId="2" numFmtId="0" xfId="0" applyAlignment="1" applyBorder="1" applyFont="1">
      <alignment horizontal="center" shrinkToFit="0" vertical="bottom" wrapText="0"/>
    </xf>
    <xf borderId="0" fillId="7" fontId="2" numFmtId="0" xfId="0" applyAlignment="1" applyFont="1">
      <alignment horizontal="center" shrinkToFit="0" vertical="bottom" wrapText="0"/>
    </xf>
    <xf borderId="0" fillId="7" fontId="2" numFmtId="0" xfId="0" applyAlignment="1" applyFont="1">
      <alignment horizontal="left" shrinkToFit="0" vertical="bottom" wrapText="0"/>
    </xf>
    <xf borderId="0" fillId="7" fontId="7" numFmtId="0" xfId="0" applyAlignment="1" applyFont="1">
      <alignment shrinkToFit="0" vertical="bottom" wrapText="0"/>
    </xf>
    <xf borderId="23" fillId="3" fontId="6" numFmtId="0" xfId="0" applyAlignment="1" applyBorder="1" applyFont="1">
      <alignment horizontal="center" readingOrder="0" shrinkToFit="0" vertical="bottom" wrapText="0"/>
    </xf>
    <xf borderId="24" fillId="3" fontId="8" numFmtId="0" xfId="0" applyAlignment="1" applyBorder="1" applyFont="1">
      <alignment horizontal="center"/>
    </xf>
    <xf borderId="23" fillId="3" fontId="8" numFmtId="0" xfId="0" applyBorder="1" applyFont="1"/>
    <xf borderId="24" fillId="3" fontId="10" numFmtId="0" xfId="0" applyAlignment="1" applyBorder="1" applyFont="1">
      <alignment horizontal="center"/>
    </xf>
    <xf borderId="14" fillId="3" fontId="8" numFmtId="0" xfId="0" applyAlignment="1" applyBorder="1" applyFont="1">
      <alignment readingOrder="0"/>
    </xf>
    <xf borderId="15" fillId="4" fontId="5" numFmtId="0" xfId="0" applyAlignment="1" applyBorder="1" applyFont="1">
      <alignment readingOrder="0"/>
    </xf>
    <xf borderId="18" fillId="3" fontId="8" numFmtId="0" xfId="0" applyAlignment="1" applyBorder="1" applyFont="1">
      <alignment readingOrder="0"/>
    </xf>
    <xf borderId="25" fillId="4" fontId="5" numFmtId="0" xfId="0" applyBorder="1" applyFont="1"/>
    <xf borderId="26" fillId="4" fontId="5" numFmtId="0" xfId="0" applyBorder="1" applyFont="1"/>
    <xf borderId="27" fillId="4" fontId="5" numFmtId="0" xfId="0" applyAlignment="1" applyBorder="1" applyFont="1">
      <alignment horizontal="center"/>
    </xf>
    <xf borderId="28" fillId="4" fontId="5" numFmtId="0" xfId="0" applyAlignment="1" applyBorder="1" applyFont="1">
      <alignment horizontal="center"/>
    </xf>
    <xf borderId="29" fillId="3" fontId="8" numFmtId="0" xfId="0" applyBorder="1" applyFont="1"/>
    <xf borderId="30" fillId="3" fontId="11" numFmtId="0" xfId="0" applyAlignment="1" applyBorder="1" applyFont="1">
      <alignment horizontal="center" readingOrder="0" shrinkToFit="0" vertical="bottom" wrapText="0"/>
    </xf>
    <xf borderId="0" fillId="8" fontId="12" numFmtId="0" xfId="0" applyAlignment="1" applyFill="1" applyFont="1">
      <alignment horizontal="center"/>
    </xf>
    <xf borderId="0" fillId="0" fontId="9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13" fillId="6" fontId="2" numFmtId="0" xfId="0" applyAlignment="1" applyBorder="1" applyFont="1">
      <alignment horizontal="center" shrinkToFit="0" vertical="bottom" wrapText="0"/>
    </xf>
    <xf borderId="0" fillId="7" fontId="2" numFmtId="0" xfId="0" applyAlignment="1" applyFont="1">
      <alignment horizontal="center" shrinkToFit="0" vertical="bottom" wrapText="0"/>
    </xf>
    <xf borderId="0" fillId="7" fontId="2" numFmtId="0" xfId="0" applyAlignment="1" applyFont="1">
      <alignment horizontal="left" shrinkToFit="0" vertical="bottom" wrapText="0"/>
    </xf>
    <xf borderId="0" fillId="7" fontId="6" numFmtId="0" xfId="0" applyAlignment="1" applyFont="1">
      <alignment horizontal="center" shrinkToFit="0" vertical="bottom" wrapText="0"/>
    </xf>
    <xf borderId="0" fillId="7" fontId="13" numFmtId="0" xfId="0" applyAlignment="1" applyFont="1">
      <alignment horizontal="left" readingOrder="0" shrinkToFit="0" vertical="bottom" wrapText="0"/>
    </xf>
    <xf borderId="13" fillId="9" fontId="2" numFmtId="0" xfId="0" applyAlignment="1" applyBorder="1" applyFill="1" applyFont="1">
      <alignment horizontal="center" readingOrder="0" shrinkToFit="0" vertical="bottom" wrapText="0"/>
    </xf>
    <xf borderId="0" fillId="7" fontId="7" numFmtId="0" xfId="0" applyAlignment="1" applyFont="1">
      <alignment shrinkToFit="0" vertical="bottom" wrapText="0"/>
    </xf>
    <xf borderId="31" fillId="6" fontId="2" numFmtId="0" xfId="0" applyAlignment="1" applyBorder="1" applyFont="1">
      <alignment horizontal="center" shrinkToFit="0" vertical="bottom" wrapText="0"/>
    </xf>
    <xf borderId="31" fillId="0" fontId="8" numFmtId="0" xfId="0" applyAlignment="1" applyBorder="1" applyFont="1">
      <alignment horizontal="center"/>
    </xf>
    <xf borderId="32" fillId="0" fontId="8" numFmtId="0" xfId="0" applyBorder="1" applyFont="1"/>
    <xf borderId="33" fillId="3" fontId="8" numFmtId="0" xfId="0" applyBorder="1" applyFont="1"/>
    <xf borderId="3" fillId="10" fontId="14" numFmtId="0" xfId="0" applyAlignment="1" applyBorder="1" applyFill="1" applyFont="1">
      <alignment horizontal="center" vertical="bottom"/>
    </xf>
    <xf borderId="34" fillId="10" fontId="14" numFmtId="0" xfId="0" applyAlignment="1" applyBorder="1" applyFont="1">
      <alignment horizontal="center" vertical="bottom"/>
    </xf>
    <xf borderId="34" fillId="10" fontId="14" numFmtId="0" xfId="0" applyAlignment="1" applyBorder="1" applyFont="1">
      <alignment horizontal="center" vertical="bottom"/>
    </xf>
    <xf borderId="35" fillId="10" fontId="14" numFmtId="0" xfId="0" applyAlignment="1" applyBorder="1" applyFont="1">
      <alignment horizontal="center" vertical="bottom"/>
    </xf>
    <xf borderId="13" fillId="11" fontId="14" numFmtId="0" xfId="0" applyAlignment="1" applyBorder="1" applyFill="1" applyFont="1">
      <alignment horizontal="center" vertical="bottom"/>
    </xf>
    <xf borderId="0" fillId="11" fontId="14" numFmtId="0" xfId="0" applyAlignment="1" applyFont="1">
      <alignment horizontal="center" vertical="bottom"/>
    </xf>
    <xf borderId="0" fillId="11" fontId="14" numFmtId="0" xfId="0" applyAlignment="1" applyFont="1">
      <alignment horizontal="center" vertical="bottom"/>
    </xf>
    <xf borderId="36" fillId="11" fontId="14" numFmtId="0" xfId="0" applyAlignment="1" applyBorder="1" applyFont="1">
      <alignment horizontal="center" vertical="bottom"/>
    </xf>
    <xf borderId="31" fillId="11" fontId="14" numFmtId="0" xfId="0" applyAlignment="1" applyBorder="1" applyFont="1">
      <alignment horizontal="center" vertical="bottom"/>
    </xf>
    <xf borderId="32" fillId="11" fontId="14" numFmtId="0" xfId="0" applyAlignment="1" applyBorder="1" applyFont="1">
      <alignment horizontal="center" vertical="bottom"/>
    </xf>
    <xf borderId="37" fillId="11" fontId="14" numFmtId="0" xfId="0" applyAlignment="1" applyBorder="1" applyFont="1">
      <alignment horizontal="center" vertical="bottom"/>
    </xf>
    <xf borderId="13" fillId="11" fontId="14" numFmtId="0" xfId="0" applyAlignment="1" applyBorder="1" applyFont="1">
      <alignment horizontal="center" vertical="bottom"/>
    </xf>
    <xf borderId="31" fillId="11" fontId="14" numFmtId="0" xfId="0" applyAlignment="1" applyBorder="1" applyFont="1">
      <alignment horizontal="center" vertical="bottom"/>
    </xf>
    <xf borderId="0" fillId="12" fontId="8" numFmtId="0" xfId="0" applyFill="1" applyFont="1"/>
    <xf borderId="0" fillId="13" fontId="8" numFmtId="0" xfId="0" applyFill="1" applyFont="1"/>
    <xf borderId="38" fillId="14" fontId="15" numFmtId="0" xfId="0" applyAlignment="1" applyBorder="1" applyFill="1" applyFont="1">
      <alignment horizontal="center" readingOrder="0"/>
    </xf>
    <xf borderId="4" fillId="15" fontId="15" numFmtId="0" xfId="0" applyAlignment="1" applyBorder="1" applyFill="1" applyFont="1">
      <alignment horizontal="center" readingOrder="0"/>
    </xf>
    <xf borderId="4" fillId="15" fontId="16" numFmtId="0" xfId="0" applyAlignment="1" applyBorder="1" applyFont="1">
      <alignment horizontal="center" readingOrder="0"/>
    </xf>
    <xf borderId="4" fillId="15" fontId="16" numFmtId="0" xfId="0" applyAlignment="1" applyBorder="1" applyFont="1">
      <alignment horizontal="center"/>
    </xf>
    <xf borderId="4" fillId="0" fontId="15" numFmtId="0" xfId="0" applyAlignment="1" applyBorder="1" applyFont="1">
      <alignment horizontal="center" readingOrder="0" shrinkToFit="0" wrapText="0"/>
    </xf>
    <xf borderId="4" fillId="0" fontId="16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center" shrinkToFit="0" vertical="bottom" wrapText="0"/>
    </xf>
    <xf borderId="4" fillId="0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16" numFmtId="0" xfId="0" applyAlignment="1" applyBorder="1" applyFont="1">
      <alignment horizontal="center"/>
    </xf>
    <xf borderId="4" fillId="15" fontId="15" numFmtId="0" xfId="0" applyAlignment="1" applyBorder="1" applyFont="1">
      <alignment horizontal="center" readingOrder="0" shrinkToFit="0" wrapText="0"/>
    </xf>
    <xf borderId="4" fillId="15" fontId="16" numFmtId="0" xfId="0" applyAlignment="1" applyBorder="1" applyFont="1">
      <alignment horizontal="center" readingOrder="0" shrinkToFit="0" wrapText="0"/>
    </xf>
    <xf borderId="4" fillId="15" fontId="9" numFmtId="0" xfId="0" applyAlignment="1" applyBorder="1" applyFont="1">
      <alignment horizontal="center" shrinkToFit="0" vertical="bottom" wrapText="0"/>
    </xf>
    <xf borderId="4" fillId="15" fontId="16" numFmtId="0" xfId="0" applyAlignment="1" applyBorder="1" applyFont="1">
      <alignment horizontal="center"/>
    </xf>
    <xf borderId="39" fillId="2" fontId="17" numFmtId="0" xfId="0" applyAlignment="1" applyBorder="1" applyFont="1">
      <alignment horizontal="center" shrinkToFit="0" wrapText="1"/>
    </xf>
    <xf borderId="40" fillId="2" fontId="18" numFmtId="0" xfId="0" applyAlignment="1" applyBorder="1" applyFont="1">
      <alignment horizontal="center" shrinkToFit="0" wrapText="1"/>
    </xf>
    <xf borderId="41" fillId="0" fontId="19" numFmtId="0" xfId="0" applyAlignment="1" applyBorder="1" applyFont="1">
      <alignment shrinkToFit="0" wrapText="1"/>
    </xf>
    <xf borderId="42" fillId="0" fontId="20" numFmtId="0" xfId="0" applyAlignment="1" applyBorder="1" applyFont="1">
      <alignment horizontal="center" readingOrder="0" shrinkToFit="0" wrapText="1"/>
    </xf>
    <xf borderId="41" fillId="0" fontId="21" numFmtId="0" xfId="0" applyAlignment="1" applyBorder="1" applyFont="1">
      <alignment shrinkToFit="0" wrapText="1"/>
    </xf>
    <xf borderId="42" fillId="0" fontId="22" numFmtId="0" xfId="0" applyAlignment="1" applyBorder="1" applyFont="1">
      <alignment horizontal="center" shrinkToFit="0" wrapText="1"/>
    </xf>
    <xf borderId="42" fillId="0" fontId="23" numFmtId="0" xfId="0" applyAlignment="1" applyBorder="1" applyFont="1">
      <alignment horizontal="center" readingOrder="0" shrinkToFit="0" wrapText="1"/>
    </xf>
    <xf borderId="42" fillId="0" fontId="24" numFmtId="0" xfId="0" applyAlignment="1" applyBorder="1" applyFont="1">
      <alignment horizontal="center" shrinkToFit="0" wrapText="1"/>
    </xf>
    <xf borderId="42" fillId="0" fontId="25" numFmtId="0" xfId="0" applyAlignment="1" applyBorder="1" applyFont="1">
      <alignment horizontal="center" readingOrder="0" shrinkToFit="0" wrapText="1"/>
    </xf>
    <xf borderId="42" fillId="0" fontId="23" numFmtId="0" xfId="0" applyAlignment="1" applyBorder="1" applyFont="1">
      <alignment horizontal="center" readingOrder="0" shrinkToFit="0" wrapText="1"/>
    </xf>
    <xf borderId="43" fillId="0" fontId="21" numFmtId="0" xfId="0" applyAlignment="1" applyBorder="1" applyFont="1">
      <alignment shrinkToFit="0" wrapText="1"/>
    </xf>
    <xf borderId="44" fillId="0" fontId="20" numFmtId="0" xfId="0" applyAlignment="1" applyBorder="1" applyFont="1">
      <alignment shrinkToFit="0" wrapText="1"/>
    </xf>
    <xf borderId="43" fillId="0" fontId="21" numFmtId="0" xfId="0" applyAlignment="1" applyBorder="1" applyFont="1">
      <alignment readingOrder="0" shrinkToFit="0" wrapText="1"/>
    </xf>
    <xf borderId="44" fillId="0" fontId="20" numFmtId="0" xfId="0" applyAlignment="1" applyBorder="1" applyFont="1">
      <alignment horizontal="center" readingOrder="0" shrinkToFit="0" wrapText="1"/>
    </xf>
    <xf borderId="0" fillId="0" fontId="26" numFmtId="0" xfId="0" applyFont="1"/>
    <xf borderId="0" fillId="0" fontId="27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shrinkToFit="0" vertical="bottom" wrapText="0"/>
    </xf>
    <xf borderId="13" fillId="0" fontId="27" numFmtId="0" xfId="0" applyAlignment="1" applyBorder="1" applyFont="1">
      <alignment horizontal="right"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36" fillId="0" fontId="28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45" fillId="16" fontId="29" numFmtId="0" xfId="0" applyAlignment="1" applyBorder="1" applyFill="1" applyFont="1">
      <alignment horizontal="left" readingOrder="0" shrinkToFit="0" vertical="bottom" wrapText="0"/>
    </xf>
    <xf borderId="45" fillId="16" fontId="28" numFmtId="0" xfId="0" applyAlignment="1" applyBorder="1" applyFont="1">
      <alignment horizontal="left" readingOrder="0" shrinkToFit="0" vertical="bottom" wrapText="0"/>
    </xf>
    <xf borderId="0" fillId="16" fontId="28" numFmtId="0" xfId="0" applyAlignment="1" applyFont="1">
      <alignment shrinkToFit="0" vertical="bottom" wrapText="0"/>
    </xf>
    <xf borderId="13" fillId="17" fontId="30" numFmtId="0" xfId="0" applyAlignment="1" applyBorder="1" applyFill="1" applyFont="1">
      <alignment horizontal="center" readingOrder="0" shrinkToFit="0" vertical="bottom" wrapText="0"/>
    </xf>
    <xf borderId="0" fillId="17" fontId="30" numFmtId="0" xfId="0" applyAlignment="1" applyFont="1">
      <alignment horizontal="center" readingOrder="0" shrinkToFit="0" vertical="bottom" wrapText="0"/>
    </xf>
    <xf borderId="36" fillId="18" fontId="30" numFmtId="0" xfId="0" applyAlignment="1" applyBorder="1" applyFill="1" applyFont="1">
      <alignment horizontal="center" readingOrder="0" shrinkToFit="0" vertical="bottom" wrapText="0"/>
    </xf>
    <xf borderId="0" fillId="18" fontId="30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9" fontId="31" numFmtId="0" xfId="0" applyAlignment="1" applyFill="1" applyFont="1">
      <alignment horizontal="left" readingOrder="0" shrinkToFit="0" vertical="bottom" wrapText="0"/>
    </xf>
    <xf borderId="0" fillId="19" fontId="32" numFmtId="0" xfId="0" applyAlignment="1" applyFont="1">
      <alignment horizontal="left" readingOrder="0" shrinkToFit="0" vertical="bottom" wrapText="0"/>
    </xf>
    <xf borderId="0" fillId="20" fontId="32" numFmtId="0" xfId="0" applyAlignment="1" applyFill="1" applyFont="1">
      <alignment horizontal="right" readingOrder="0" shrinkToFit="0" vertical="bottom" wrapText="0"/>
    </xf>
    <xf borderId="13" fillId="19" fontId="32" numFmtId="0" xfId="0" applyAlignment="1" applyBorder="1" applyFont="1">
      <alignment shrinkToFit="0" vertical="bottom" wrapText="0"/>
    </xf>
    <xf borderId="0" fillId="19" fontId="32" numFmtId="0" xfId="0" applyAlignment="1" applyFont="1">
      <alignment shrinkToFit="0" vertical="bottom" wrapText="0"/>
    </xf>
    <xf borderId="36" fillId="19" fontId="33" numFmtId="0" xfId="0" applyAlignment="1" applyBorder="1" applyFont="1">
      <alignment shrinkToFit="0" vertical="bottom" wrapText="0"/>
    </xf>
    <xf borderId="0" fillId="19" fontId="33" numFmtId="0" xfId="0" applyAlignment="1" applyFont="1">
      <alignment shrinkToFit="0" vertical="bottom" wrapText="0"/>
    </xf>
    <xf borderId="0" fillId="21" fontId="31" numFmtId="0" xfId="0" applyAlignment="1" applyFill="1" applyFont="1">
      <alignment horizontal="left" readingOrder="0" shrinkToFit="0" vertical="bottom" wrapText="0"/>
    </xf>
    <xf borderId="0" fillId="21" fontId="32" numFmtId="0" xfId="0" applyAlignment="1" applyFont="1">
      <alignment horizontal="left" readingOrder="0" shrinkToFit="0" vertical="bottom" wrapText="0"/>
    </xf>
    <xf borderId="13" fillId="21" fontId="32" numFmtId="0" xfId="0" applyAlignment="1" applyBorder="1" applyFont="1">
      <alignment shrinkToFit="0" vertical="bottom" wrapText="0"/>
    </xf>
    <xf borderId="0" fillId="21" fontId="32" numFmtId="0" xfId="0" applyAlignment="1" applyFont="1">
      <alignment shrinkToFit="0" vertical="bottom" wrapText="0"/>
    </xf>
    <xf borderId="36" fillId="21" fontId="33" numFmtId="0" xfId="0" applyAlignment="1" applyBorder="1" applyFont="1">
      <alignment shrinkToFit="0" vertical="bottom" wrapText="0"/>
    </xf>
    <xf borderId="0" fillId="21" fontId="33" numFmtId="0" xfId="0" applyAlignment="1" applyFont="1">
      <alignment shrinkToFit="0" vertical="bottom" wrapText="0"/>
    </xf>
    <xf borderId="0" fillId="22" fontId="31" numFmtId="0" xfId="0" applyAlignment="1" applyFill="1" applyFont="1">
      <alignment horizontal="left" readingOrder="0" shrinkToFit="0" vertical="bottom" wrapText="0"/>
    </xf>
    <xf borderId="0" fillId="22" fontId="32" numFmtId="0" xfId="0" applyAlignment="1" applyFont="1">
      <alignment horizontal="left" readingOrder="0" shrinkToFit="0" vertical="bottom" wrapText="0"/>
    </xf>
    <xf borderId="0" fillId="23" fontId="32" numFmtId="0" xfId="0" applyAlignment="1" applyFill="1" applyFont="1">
      <alignment horizontal="right" readingOrder="0" shrinkToFit="0" vertical="bottom" wrapText="0"/>
    </xf>
    <xf borderId="13" fillId="22" fontId="32" numFmtId="0" xfId="0" applyAlignment="1" applyBorder="1" applyFont="1">
      <alignment shrinkToFit="0" vertical="bottom" wrapText="0"/>
    </xf>
    <xf borderId="0" fillId="22" fontId="32" numFmtId="0" xfId="0" applyAlignment="1" applyFont="1">
      <alignment shrinkToFit="0" vertical="bottom" wrapText="0"/>
    </xf>
    <xf borderId="36" fillId="22" fontId="33" numFmtId="0" xfId="0" applyAlignment="1" applyBorder="1" applyFont="1">
      <alignment shrinkToFit="0" vertical="bottom" wrapText="0"/>
    </xf>
    <xf borderId="0" fillId="22" fontId="33" numFmtId="0" xfId="0" applyAlignment="1" applyFont="1">
      <alignment shrinkToFit="0" vertical="bottom" wrapText="0"/>
    </xf>
    <xf borderId="0" fillId="24" fontId="31" numFmtId="0" xfId="0" applyAlignment="1" applyFill="1" applyFont="1">
      <alignment horizontal="left" readingOrder="0" shrinkToFit="0" vertical="bottom" wrapText="0"/>
    </xf>
    <xf borderId="0" fillId="24" fontId="32" numFmtId="0" xfId="0" applyAlignment="1" applyFont="1">
      <alignment horizontal="left" readingOrder="0" shrinkToFit="0" vertical="bottom" wrapText="0"/>
    </xf>
    <xf borderId="0" fillId="25" fontId="32" numFmtId="0" xfId="0" applyAlignment="1" applyFill="1" applyFont="1">
      <alignment horizontal="right" readingOrder="0" shrinkToFit="0" vertical="bottom" wrapText="0"/>
    </xf>
    <xf borderId="13" fillId="24" fontId="32" numFmtId="0" xfId="0" applyAlignment="1" applyBorder="1" applyFont="1">
      <alignment shrinkToFit="0" vertical="bottom" wrapText="0"/>
    </xf>
    <xf borderId="0" fillId="24" fontId="32" numFmtId="0" xfId="0" applyAlignment="1" applyFont="1">
      <alignment shrinkToFit="0" vertical="bottom" wrapText="0"/>
    </xf>
    <xf borderId="36" fillId="24" fontId="33" numFmtId="0" xfId="0" applyAlignment="1" applyBorder="1" applyFont="1">
      <alignment shrinkToFit="0" vertical="bottom" wrapText="0"/>
    </xf>
    <xf borderId="0" fillId="24" fontId="33" numFmtId="0" xfId="0" applyAlignment="1" applyFont="1">
      <alignment shrinkToFit="0" vertical="bottom" wrapText="0"/>
    </xf>
    <xf borderId="0" fillId="26" fontId="31" numFmtId="0" xfId="0" applyAlignment="1" applyFill="1" applyFont="1">
      <alignment horizontal="left" readingOrder="0" shrinkToFit="0" vertical="bottom" wrapText="0"/>
    </xf>
    <xf borderId="0" fillId="26" fontId="32" numFmtId="0" xfId="0" applyAlignment="1" applyFont="1">
      <alignment horizontal="left" readingOrder="0" shrinkToFit="0" vertical="bottom" wrapText="0"/>
    </xf>
    <xf borderId="0" fillId="27" fontId="32" numFmtId="0" xfId="0" applyAlignment="1" applyFill="1" applyFont="1">
      <alignment horizontal="right" readingOrder="0" shrinkToFit="0" vertical="bottom" wrapText="0"/>
    </xf>
    <xf borderId="13" fillId="26" fontId="32" numFmtId="0" xfId="0" applyAlignment="1" applyBorder="1" applyFont="1">
      <alignment shrinkToFit="0" vertical="bottom" wrapText="0"/>
    </xf>
    <xf borderId="0" fillId="26" fontId="32" numFmtId="0" xfId="0" applyAlignment="1" applyFont="1">
      <alignment shrinkToFit="0" vertical="bottom" wrapText="0"/>
    </xf>
    <xf borderId="36" fillId="26" fontId="33" numFmtId="0" xfId="0" applyAlignment="1" applyBorder="1" applyFont="1">
      <alignment shrinkToFit="0" vertical="bottom" wrapText="0"/>
    </xf>
    <xf borderId="0" fillId="26" fontId="33" numFmtId="0" xfId="0" applyAlignment="1" applyFont="1">
      <alignment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28" fontId="32" numFmtId="0" xfId="0" applyAlignment="1" applyFill="1" applyFont="1">
      <alignment horizontal="right" readingOrder="0" shrinkToFit="0" vertical="bottom" wrapText="0"/>
    </xf>
    <xf borderId="13" fillId="0" fontId="32" numFmtId="0" xfId="0" applyAlignment="1" applyBorder="1" applyFont="1">
      <alignment horizontal="right" readingOrder="0" shrinkToFit="0" vertical="bottom" wrapText="0"/>
    </xf>
    <xf borderId="0" fillId="0" fontId="32" numFmtId="0" xfId="0" applyAlignment="1" applyFont="1">
      <alignment horizontal="right" readingOrder="0" shrinkToFit="0" vertical="bottom" wrapText="0"/>
    </xf>
    <xf borderId="36" fillId="0" fontId="33" numFmtId="0" xfId="0" applyAlignment="1" applyBorder="1" applyFont="1">
      <alignment horizontal="right"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29" fontId="31" numFmtId="0" xfId="0" applyAlignment="1" applyFill="1" applyFont="1">
      <alignment horizontal="left" readingOrder="0" shrinkToFit="0" vertical="bottom" wrapText="0"/>
    </xf>
    <xf borderId="0" fillId="29" fontId="32" numFmtId="0" xfId="0" applyAlignment="1" applyFont="1">
      <alignment horizontal="left" readingOrder="0" shrinkToFit="0" vertical="bottom" wrapText="0"/>
    </xf>
    <xf borderId="0" fillId="30" fontId="32" numFmtId="0" xfId="0" applyAlignment="1" applyFill="1" applyFont="1">
      <alignment horizontal="right" readingOrder="0" shrinkToFit="0" vertical="bottom" wrapText="0"/>
    </xf>
    <xf borderId="13" fillId="29" fontId="32" numFmtId="0" xfId="0" applyAlignment="1" applyBorder="1" applyFont="1">
      <alignment shrinkToFit="0" vertical="bottom" wrapText="0"/>
    </xf>
    <xf borderId="0" fillId="29" fontId="32" numFmtId="0" xfId="0" applyAlignment="1" applyFont="1">
      <alignment shrinkToFit="0" vertical="bottom" wrapText="0"/>
    </xf>
    <xf borderId="36" fillId="29" fontId="33" numFmtId="0" xfId="0" applyAlignment="1" applyBorder="1" applyFont="1">
      <alignment shrinkToFit="0" vertical="bottom" wrapText="0"/>
    </xf>
    <xf borderId="0" fillId="29" fontId="33" numFmtId="0" xfId="0" applyAlignment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13" fillId="0" fontId="32" numFmtId="0" xfId="0" applyAlignment="1" applyBorder="1" applyFont="1">
      <alignment shrinkToFit="0" vertical="bottom" wrapText="0"/>
    </xf>
    <xf borderId="36" fillId="0" fontId="33" numFmtId="0" xfId="0" applyAlignment="1" applyBorder="1" applyFont="1">
      <alignment shrinkToFit="0" vertical="bottom" wrapText="0"/>
    </xf>
    <xf borderId="0" fillId="0" fontId="33" numFmtId="0" xfId="0" applyAlignment="1" applyFont="1">
      <alignment horizontal="left" readingOrder="0" shrinkToFit="0" vertical="bottom" wrapText="0"/>
    </xf>
    <xf borderId="0" fillId="28" fontId="33" numFmtId="0" xfId="0" applyAlignment="1" applyFont="1">
      <alignment horizontal="right" readingOrder="0" shrinkToFit="0" vertical="bottom" wrapText="0"/>
    </xf>
    <xf borderId="13" fillId="0" fontId="32" numFmtId="0" xfId="0" applyAlignment="1" applyBorder="1" applyFont="1">
      <alignment shrinkToFit="0" vertical="bottom" wrapText="0"/>
    </xf>
    <xf borderId="0" fillId="29" fontId="34" numFmtId="0" xfId="0" applyAlignment="1" applyFont="1">
      <alignment horizontal="left" readingOrder="0" shrinkToFit="0" vertical="bottom" wrapText="0"/>
    </xf>
    <xf borderId="0" fillId="29" fontId="35" numFmtId="0" xfId="0" applyAlignment="1" applyFont="1">
      <alignment horizontal="left" readingOrder="0" shrinkToFit="0" vertical="bottom" wrapText="0"/>
    </xf>
    <xf borderId="13" fillId="29" fontId="35" numFmtId="0" xfId="0" applyAlignment="1" applyBorder="1" applyFont="1">
      <alignment shrinkToFit="0" vertical="bottom" wrapText="0"/>
    </xf>
    <xf borderId="0" fillId="29" fontId="35" numFmtId="0" xfId="0" applyAlignment="1" applyFont="1">
      <alignment shrinkToFit="0" vertical="bottom" wrapText="0"/>
    </xf>
    <xf borderId="36" fillId="29" fontId="34" numFmtId="0" xfId="0" applyAlignment="1" applyBorder="1" applyFont="1">
      <alignment shrinkToFit="0" vertical="bottom" wrapText="0"/>
    </xf>
    <xf borderId="0" fillId="29" fontId="34" numFmtId="0" xfId="0" applyAlignment="1" applyFont="1">
      <alignment shrinkToFit="0" vertical="bottom" wrapText="0"/>
    </xf>
    <xf borderId="0" fillId="26" fontId="34" numFmtId="0" xfId="0" applyAlignment="1" applyFont="1">
      <alignment horizontal="left" readingOrder="0" shrinkToFit="0" vertical="bottom" wrapText="0"/>
    </xf>
    <xf borderId="0" fillId="26" fontId="35" numFmtId="0" xfId="0" applyAlignment="1" applyFont="1">
      <alignment horizontal="left" readingOrder="0" shrinkToFit="0" vertical="bottom" wrapText="0"/>
    </xf>
    <xf borderId="13" fillId="26" fontId="35" numFmtId="0" xfId="0" applyAlignment="1" applyBorder="1" applyFont="1">
      <alignment shrinkToFit="0" vertical="bottom" wrapText="0"/>
    </xf>
    <xf borderId="0" fillId="26" fontId="35" numFmtId="0" xfId="0" applyAlignment="1" applyFont="1">
      <alignment shrinkToFit="0" vertical="bottom" wrapText="0"/>
    </xf>
    <xf borderId="36" fillId="26" fontId="34" numFmtId="0" xfId="0" applyAlignment="1" applyBorder="1" applyFont="1">
      <alignment shrinkToFit="0" vertical="bottom" wrapText="0"/>
    </xf>
    <xf borderId="0" fillId="26" fontId="34" numFmtId="0" xfId="0" applyAlignment="1" applyFont="1">
      <alignment shrinkToFit="0" vertical="bottom" wrapText="0"/>
    </xf>
    <xf borderId="0" fillId="0" fontId="36" numFmtId="0" xfId="0" applyAlignment="1" applyFont="1">
      <alignment horizontal="left" readingOrder="0"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15" fontId="31" numFmtId="0" xfId="0" applyAlignment="1" applyFont="1">
      <alignment horizontal="left" readingOrder="0" shrinkToFit="0" vertical="bottom" wrapText="0"/>
    </xf>
    <xf borderId="0" fillId="15" fontId="32" numFmtId="0" xfId="0" applyAlignment="1" applyFont="1">
      <alignment horizontal="left" readingOrder="0" shrinkToFit="0" vertical="bottom" wrapText="0"/>
    </xf>
    <xf borderId="13" fillId="15" fontId="32" numFmtId="0" xfId="0" applyAlignment="1" applyBorder="1" applyFont="1">
      <alignment shrinkToFit="0" vertical="bottom" wrapText="0"/>
    </xf>
    <xf borderId="0" fillId="15" fontId="32" numFmtId="0" xfId="0" applyAlignment="1" applyFont="1">
      <alignment shrinkToFit="0" vertical="bottom" wrapText="0"/>
    </xf>
    <xf borderId="36" fillId="15" fontId="33" numFmtId="0" xfId="0" applyAlignment="1" applyBorder="1" applyFont="1">
      <alignment shrinkToFit="0" vertical="bottom" wrapText="0"/>
    </xf>
    <xf borderId="0" fillId="15" fontId="33" numFmtId="0" xfId="0" applyAlignment="1" applyFont="1">
      <alignment shrinkToFit="0" vertical="bottom" wrapText="0"/>
    </xf>
    <xf borderId="0" fillId="0" fontId="38" numFmtId="0" xfId="0" applyAlignment="1" applyFont="1">
      <alignment horizontal="left" readingOrder="0" shrinkToFit="0" vertical="bottom" wrapText="0"/>
    </xf>
    <xf borderId="0" fillId="0" fontId="39" numFmtId="0" xfId="0" applyAlignment="1" applyFont="1">
      <alignment horizontal="left" readingOrder="0" shrinkToFit="0" vertical="bottom" wrapText="0"/>
    </xf>
    <xf borderId="0" fillId="28" fontId="39" numFmtId="0" xfId="0" applyAlignment="1" applyFont="1">
      <alignment horizontal="right" readingOrder="0" shrinkToFit="0" vertical="bottom" wrapText="0"/>
    </xf>
    <xf borderId="0" fillId="31" fontId="31" numFmtId="0" xfId="0" applyAlignment="1" applyFill="1" applyFont="1">
      <alignment horizontal="left" readingOrder="0" shrinkToFit="0" vertical="bottom" wrapText="0"/>
    </xf>
    <xf borderId="0" fillId="31" fontId="32" numFmtId="0" xfId="0" applyAlignment="1" applyFont="1">
      <alignment horizontal="left" readingOrder="0" shrinkToFit="0" vertical="bottom" wrapText="0"/>
    </xf>
    <xf borderId="0" fillId="31" fontId="32" numFmtId="0" xfId="0" applyAlignment="1" applyFont="1">
      <alignment horizontal="right" readingOrder="0" shrinkToFit="0" vertical="bottom" wrapText="0"/>
    </xf>
    <xf borderId="13" fillId="31" fontId="32" numFmtId="0" xfId="0" applyAlignment="1" applyBorder="1" applyFont="1">
      <alignment horizontal="right" readingOrder="0" shrinkToFit="0" vertical="bottom" wrapText="0"/>
    </xf>
    <xf borderId="36" fillId="31" fontId="33" numFmtId="0" xfId="0" applyAlignment="1" applyBorder="1" applyFont="1">
      <alignment horizontal="right" readingOrder="0" shrinkToFit="0" vertical="bottom" wrapText="0"/>
    </xf>
    <xf borderId="0" fillId="31" fontId="32" numFmtId="0" xfId="0" applyAlignment="1" applyFont="1">
      <alignment shrinkToFit="0" vertical="bottom" wrapText="0"/>
    </xf>
    <xf borderId="0" fillId="31" fontId="33" numFmtId="0" xfId="0" applyAlignment="1" applyFont="1">
      <alignment horizontal="right" readingOrder="0" shrinkToFit="0" vertical="bottom" wrapText="0"/>
    </xf>
    <xf borderId="13" fillId="31" fontId="32" numFmtId="0" xfId="0" applyAlignment="1" applyBorder="1" applyFont="1">
      <alignment shrinkToFit="0" vertical="bottom" wrapText="0"/>
    </xf>
    <xf borderId="36" fillId="31" fontId="33" numFmtId="0" xfId="0" applyAlignment="1" applyBorder="1" applyFont="1">
      <alignment shrinkToFit="0" vertical="bottom" wrapText="0"/>
    </xf>
    <xf borderId="0" fillId="31" fontId="8" numFmtId="0" xfId="0" applyFont="1"/>
    <xf borderId="13" fillId="24" fontId="32" numFmtId="0" xfId="0" applyAlignment="1" applyBorder="1" applyFont="1">
      <alignment shrinkToFit="0" vertical="bottom" wrapText="0"/>
    </xf>
    <xf borderId="13" fillId="22" fontId="32" numFmtId="0" xfId="0" applyAlignment="1" applyBorder="1" applyFont="1">
      <alignment shrinkToFit="0" vertical="bottom" wrapText="0"/>
    </xf>
    <xf borderId="13" fillId="26" fontId="32" numFmtId="0" xfId="0" applyAlignment="1" applyBorder="1" applyFont="1">
      <alignment shrinkToFit="0" vertical="bottom" wrapText="0"/>
    </xf>
    <xf borderId="13" fillId="29" fontId="32" numFmtId="0" xfId="0" applyAlignment="1" applyBorder="1" applyFont="1">
      <alignment shrinkToFit="0" vertical="bottom" wrapText="0"/>
    </xf>
    <xf borderId="0" fillId="29" fontId="33" numFmtId="0" xfId="0" applyAlignment="1" applyFont="1">
      <alignment horizontal="left" readingOrder="0" shrinkToFit="0" vertical="bottom" wrapText="0"/>
    </xf>
    <xf borderId="0" fillId="26" fontId="33" numFmtId="0" xfId="0" applyAlignment="1" applyFont="1">
      <alignment horizontal="left" readingOrder="0" shrinkToFit="0" vertical="bottom" wrapText="0"/>
    </xf>
    <xf borderId="0" fillId="32" fontId="40" numFmtId="0" xfId="0" applyAlignment="1" applyFill="1" applyFont="1">
      <alignment horizontal="right" readingOrder="0" shrinkToFit="0" vertical="bottom" wrapText="0"/>
    </xf>
    <xf borderId="0" fillId="24" fontId="32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/>
    </xf>
    <xf borderId="0" fillId="0" fontId="41" numFmtId="0" xfId="0" applyFont="1"/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6360705047@pnu.ac.th" TargetMode="External"/><Relationship Id="rId3" Type="http://schemas.openxmlformats.org/officeDocument/2006/relationships/hyperlink" Target="mailto:boonyaporn.kiat@gmail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0" width="8.71"/>
    <col customWidth="1" min="11" max="11" width="10.0"/>
    <col customWidth="1" min="12" max="14" width="8.71"/>
    <col customWidth="1" hidden="1" min="15" max="15" width="8.71"/>
    <col customWidth="1" min="16" max="20" width="8.71"/>
    <col customWidth="1" min="21" max="21" width="12.86"/>
    <col customWidth="1" min="22" max="23" width="8.71"/>
    <col customWidth="1" min="24" max="24" width="12.86"/>
    <col customWidth="1" min="25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/>
      <c r="M1" s="11"/>
      <c r="N1" s="12"/>
      <c r="O1" s="13"/>
      <c r="P1" s="14" t="s">
        <v>11</v>
      </c>
      <c r="Q1" s="15" t="s">
        <v>12</v>
      </c>
      <c r="R1" s="11"/>
      <c r="S1" s="11"/>
      <c r="T1" s="16"/>
      <c r="U1" s="17" t="s">
        <v>13</v>
      </c>
      <c r="V1" s="11"/>
      <c r="W1" s="16"/>
      <c r="X1" s="17" t="s">
        <v>13</v>
      </c>
      <c r="Y1" s="11"/>
      <c r="Z1" s="11"/>
      <c r="AA1" s="11"/>
    </row>
    <row r="2" ht="15.0" customHeight="1">
      <c r="A2" s="11">
        <v>111.0</v>
      </c>
      <c r="B2" s="18" t="s">
        <v>14</v>
      </c>
      <c r="C2" s="19" t="s">
        <v>15</v>
      </c>
      <c r="D2" s="20" t="s">
        <v>16</v>
      </c>
      <c r="E2" s="21">
        <v>12.0</v>
      </c>
      <c r="F2" s="22" t="s">
        <v>17</v>
      </c>
      <c r="G2" s="23" t="s">
        <v>18</v>
      </c>
      <c r="H2" s="24" t="s">
        <v>12</v>
      </c>
      <c r="I2" s="25">
        <f>IFERROR(VLOOKUP(VALUE(B2), 'คำนวณ '!A:U, 21, FALSE), "")</f>
        <v>1</v>
      </c>
      <c r="J2" s="26">
        <f>IFERROR(VLOOKUP(VALUE(B2), 'คำนวณ '!A:V, 22, FALSE), "")</f>
        <v>1</v>
      </c>
      <c r="K2" s="27" t="s">
        <v>19</v>
      </c>
      <c r="N2" s="28" t="s">
        <v>16</v>
      </c>
      <c r="O2" s="29">
        <f t="shared" ref="O2:O23" si="1">COUNTIFS($D$2:$D$708,N2)</f>
        <v>31</v>
      </c>
      <c r="P2" s="30">
        <f t="shared" ref="P2:P23" si="2">COUNTIFS($H$2:$H$708,$P$1,$D$2:$D$708,$N2)</f>
        <v>27</v>
      </c>
      <c r="Q2" s="31">
        <f t="shared" ref="Q2:Q23" si="3">COUNTIFS($H$2:$H$708,$Q$1,$D$2:$D$708,$N2)</f>
        <v>4</v>
      </c>
      <c r="T2" s="32" t="s">
        <v>16</v>
      </c>
      <c r="U2" s="33">
        <f t="shared" ref="U2:U23" si="4">COUNTIFS(D:D, T2, K:K, "ราคากลาง")</f>
        <v>15</v>
      </c>
      <c r="W2" s="34" t="s">
        <v>20</v>
      </c>
      <c r="X2" s="35">
        <f t="shared" ref="X2:X5" si="5">COUNTIFS(G:G,W2, K:K, "ราคากลาง")</f>
        <v>65</v>
      </c>
    </row>
    <row r="3" ht="15.0" customHeight="1">
      <c r="A3" s="11">
        <v>111.0</v>
      </c>
      <c r="B3" s="18" t="s">
        <v>21</v>
      </c>
      <c r="C3" s="36" t="s">
        <v>22</v>
      </c>
      <c r="D3" s="20" t="s">
        <v>16</v>
      </c>
      <c r="E3" s="21">
        <v>4.0</v>
      </c>
      <c r="F3" s="22" t="s">
        <v>23</v>
      </c>
      <c r="G3" s="23" t="s">
        <v>18</v>
      </c>
      <c r="H3" s="24" t="s">
        <v>12</v>
      </c>
      <c r="I3" s="25">
        <f>IFERROR(VLOOKUP(VALUE(B3), 'คำนวณ '!A:U, 21, FALSE), "")</f>
        <v>1</v>
      </c>
      <c r="J3" s="26">
        <f>IFERROR(VLOOKUP(VALUE(B3), 'คำนวณ '!A:V, 22, FALSE), "")</f>
        <v>1</v>
      </c>
      <c r="K3" s="27" t="s">
        <v>19</v>
      </c>
      <c r="N3" s="28" t="s">
        <v>24</v>
      </c>
      <c r="O3" s="29">
        <f t="shared" si="1"/>
        <v>23</v>
      </c>
      <c r="P3" s="30">
        <f t="shared" si="2"/>
        <v>15</v>
      </c>
      <c r="Q3" s="31">
        <f t="shared" si="3"/>
        <v>8</v>
      </c>
      <c r="T3" s="32" t="s">
        <v>24</v>
      </c>
      <c r="U3" s="33">
        <f t="shared" si="4"/>
        <v>13</v>
      </c>
      <c r="W3" s="37" t="s">
        <v>25</v>
      </c>
      <c r="X3" s="38">
        <f t="shared" si="5"/>
        <v>18</v>
      </c>
    </row>
    <row r="4" ht="15.0" customHeight="1">
      <c r="A4" s="11">
        <v>111.0</v>
      </c>
      <c r="B4" s="18" t="s">
        <v>26</v>
      </c>
      <c r="C4" s="36" t="s">
        <v>27</v>
      </c>
      <c r="D4" s="39"/>
      <c r="E4" s="40"/>
      <c r="F4" s="41"/>
      <c r="G4" s="23" t="s">
        <v>20</v>
      </c>
      <c r="H4" s="42"/>
      <c r="I4" s="25" t="str">
        <f>IFERROR(VLOOKUP(VALUE(B4), 'คำนวณ '!A:U, 21, FALSE), "")</f>
        <v/>
      </c>
      <c r="J4" s="26" t="str">
        <f>IFERROR(VLOOKUP(VALUE(B4), 'คำนวณ '!A:V, 22, FALSE), "")</f>
        <v/>
      </c>
      <c r="K4" s="27" t="s">
        <v>19</v>
      </c>
      <c r="N4" s="28" t="s">
        <v>28</v>
      </c>
      <c r="O4" s="29">
        <f t="shared" si="1"/>
        <v>28</v>
      </c>
      <c r="P4" s="30">
        <f t="shared" si="2"/>
        <v>8</v>
      </c>
      <c r="Q4" s="31">
        <f t="shared" si="3"/>
        <v>20</v>
      </c>
      <c r="T4" s="32" t="s">
        <v>28</v>
      </c>
      <c r="U4" s="33">
        <f t="shared" si="4"/>
        <v>1</v>
      </c>
      <c r="W4" s="37" t="s">
        <v>29</v>
      </c>
      <c r="X4" s="38">
        <f t="shared" si="5"/>
        <v>0</v>
      </c>
    </row>
    <row r="5" ht="15.0" customHeight="1">
      <c r="A5" s="11">
        <v>111.0</v>
      </c>
      <c r="B5" s="18" t="s">
        <v>30</v>
      </c>
      <c r="C5" s="36" t="s">
        <v>31</v>
      </c>
      <c r="D5" s="39"/>
      <c r="E5" s="40"/>
      <c r="F5" s="41"/>
      <c r="G5" s="23" t="s">
        <v>20</v>
      </c>
      <c r="H5" s="42"/>
      <c r="I5" s="25" t="str">
        <f>IFERROR(VLOOKUP(VALUE(B5), 'คำนวณ '!A:U, 21, FALSE), "")</f>
        <v/>
      </c>
      <c r="J5" s="26" t="str">
        <f>IFERROR(VLOOKUP(VALUE(B5), 'คำนวณ '!A:V, 22, FALSE), "")</f>
        <v/>
      </c>
      <c r="K5" s="27" t="s">
        <v>19</v>
      </c>
      <c r="N5" s="28" t="s">
        <v>32</v>
      </c>
      <c r="O5" s="29">
        <f t="shared" si="1"/>
        <v>21</v>
      </c>
      <c r="P5" s="30">
        <f t="shared" si="2"/>
        <v>21</v>
      </c>
      <c r="Q5" s="31">
        <f t="shared" si="3"/>
        <v>0</v>
      </c>
      <c r="T5" s="32" t="s">
        <v>32</v>
      </c>
      <c r="U5" s="33">
        <f t="shared" si="4"/>
        <v>7</v>
      </c>
      <c r="W5" s="43" t="s">
        <v>18</v>
      </c>
      <c r="X5" s="44">
        <f t="shared" si="5"/>
        <v>0</v>
      </c>
    </row>
    <row r="6" ht="15.0" customHeight="1">
      <c r="A6" s="11">
        <v>111.0</v>
      </c>
      <c r="B6" s="18" t="s">
        <v>33</v>
      </c>
      <c r="C6" s="36" t="s">
        <v>34</v>
      </c>
      <c r="D6" s="39"/>
      <c r="E6" s="40"/>
      <c r="F6" s="41"/>
      <c r="G6" s="23" t="s">
        <v>20</v>
      </c>
      <c r="H6" s="42"/>
      <c r="I6" s="25" t="str">
        <f>IFERROR(VLOOKUP(VALUE(B6), 'คำนวณ '!A:U, 21, FALSE), "")</f>
        <v/>
      </c>
      <c r="J6" s="26" t="str">
        <f>IFERROR(VLOOKUP(VALUE(B6), 'คำนวณ '!A:V, 22, FALSE), "")</f>
        <v/>
      </c>
      <c r="K6" s="27" t="s">
        <v>19</v>
      </c>
      <c r="N6" s="28" t="s">
        <v>35</v>
      </c>
      <c r="O6" s="29">
        <f t="shared" si="1"/>
        <v>20</v>
      </c>
      <c r="P6" s="30">
        <f t="shared" si="2"/>
        <v>6</v>
      </c>
      <c r="Q6" s="31">
        <f t="shared" si="3"/>
        <v>14</v>
      </c>
      <c r="T6" s="32" t="s">
        <v>35</v>
      </c>
      <c r="U6" s="33">
        <f t="shared" si="4"/>
        <v>4</v>
      </c>
      <c r="W6" s="45"/>
      <c r="X6" s="46">
        <f>SUM(X2:X5)</f>
        <v>83</v>
      </c>
    </row>
    <row r="7" ht="15.0" customHeight="1">
      <c r="A7" s="11">
        <v>111.0</v>
      </c>
      <c r="B7" s="18" t="s">
        <v>36</v>
      </c>
      <c r="C7" s="36" t="s">
        <v>37</v>
      </c>
      <c r="D7" s="20" t="s">
        <v>16</v>
      </c>
      <c r="E7" s="21">
        <v>4.0</v>
      </c>
      <c r="F7" s="22" t="s">
        <v>38</v>
      </c>
      <c r="G7" s="23" t="s">
        <v>20</v>
      </c>
      <c r="H7" s="24" t="s">
        <v>11</v>
      </c>
      <c r="I7" s="25">
        <f>IFERROR(VLOOKUP(VALUE(B7), 'คำนวณ '!A:U, 21, FALSE), "")</f>
        <v>1</v>
      </c>
      <c r="J7" s="26">
        <f>IFERROR(VLOOKUP(VALUE(B7), 'คำนวณ '!A:V, 22, FALSE), "")</f>
        <v>1</v>
      </c>
      <c r="K7" s="47" t="s">
        <v>10</v>
      </c>
      <c r="N7" s="48" t="s">
        <v>39</v>
      </c>
      <c r="O7" s="29">
        <f t="shared" si="1"/>
        <v>26</v>
      </c>
      <c r="P7" s="30">
        <f t="shared" si="2"/>
        <v>14</v>
      </c>
      <c r="Q7" s="31">
        <f t="shared" si="3"/>
        <v>12</v>
      </c>
      <c r="T7" s="49" t="s">
        <v>39</v>
      </c>
      <c r="U7" s="33">
        <f t="shared" si="4"/>
        <v>2</v>
      </c>
      <c r="X7" s="26"/>
    </row>
    <row r="8" ht="15.0" customHeight="1">
      <c r="A8" s="11">
        <v>111.0</v>
      </c>
      <c r="B8" s="18" t="s">
        <v>40</v>
      </c>
      <c r="C8" s="36" t="s">
        <v>41</v>
      </c>
      <c r="D8" s="39"/>
      <c r="E8" s="40"/>
      <c r="F8" s="41"/>
      <c r="G8" s="23" t="s">
        <v>18</v>
      </c>
      <c r="H8" s="42"/>
      <c r="I8" s="25" t="str">
        <f>IFERROR(VLOOKUP(VALUE(B8), 'คำนวณ '!A:U, 21, FALSE), "")</f>
        <v/>
      </c>
      <c r="J8" s="26" t="str">
        <f>IFERROR(VLOOKUP(VALUE(B8), 'คำนวณ '!A:V, 22, FALSE), "")</f>
        <v/>
      </c>
      <c r="K8" s="27" t="s">
        <v>19</v>
      </c>
      <c r="N8" s="28" t="s">
        <v>42</v>
      </c>
      <c r="O8" s="29">
        <f t="shared" si="1"/>
        <v>37</v>
      </c>
      <c r="P8" s="30">
        <f t="shared" si="2"/>
        <v>8</v>
      </c>
      <c r="Q8" s="31">
        <f t="shared" si="3"/>
        <v>29</v>
      </c>
      <c r="T8" s="32" t="s">
        <v>42</v>
      </c>
      <c r="U8" s="33">
        <f t="shared" si="4"/>
        <v>1</v>
      </c>
      <c r="X8" s="26"/>
    </row>
    <row r="9" ht="15.0" customHeight="1">
      <c r="A9" s="11">
        <v>111.0</v>
      </c>
      <c r="B9" s="18" t="s">
        <v>43</v>
      </c>
      <c r="C9" s="36" t="s">
        <v>44</v>
      </c>
      <c r="D9" s="20" t="s">
        <v>16</v>
      </c>
      <c r="E9" s="21">
        <v>8.0</v>
      </c>
      <c r="F9" s="22" t="s">
        <v>45</v>
      </c>
      <c r="G9" s="23" t="s">
        <v>18</v>
      </c>
      <c r="H9" s="24" t="s">
        <v>12</v>
      </c>
      <c r="I9" s="25">
        <f>IFERROR(VLOOKUP(VALUE(B9), 'คำนวณ '!A:U, 21, FALSE), "")</f>
        <v>1</v>
      </c>
      <c r="J9" s="26">
        <f>IFERROR(VLOOKUP(VALUE(B9), 'คำนวณ '!A:V, 22, FALSE), "")</f>
        <v>1</v>
      </c>
      <c r="K9" s="27" t="s">
        <v>19</v>
      </c>
      <c r="N9" s="28" t="s">
        <v>46</v>
      </c>
      <c r="O9" s="29">
        <f t="shared" si="1"/>
        <v>16</v>
      </c>
      <c r="P9" s="30">
        <f t="shared" si="2"/>
        <v>16</v>
      </c>
      <c r="Q9" s="31">
        <f t="shared" si="3"/>
        <v>0</v>
      </c>
      <c r="T9" s="32" t="s">
        <v>46</v>
      </c>
      <c r="U9" s="33">
        <f t="shared" si="4"/>
        <v>6</v>
      </c>
      <c r="X9" s="26"/>
    </row>
    <row r="10" ht="15.0" customHeight="1">
      <c r="A10" s="11">
        <v>111.0</v>
      </c>
      <c r="B10" s="18" t="s">
        <v>47</v>
      </c>
      <c r="C10" s="36" t="s">
        <v>48</v>
      </c>
      <c r="D10" s="20" t="s">
        <v>16</v>
      </c>
      <c r="E10" s="21">
        <v>6.0</v>
      </c>
      <c r="F10" s="22" t="s">
        <v>49</v>
      </c>
      <c r="G10" s="23" t="s">
        <v>18</v>
      </c>
      <c r="H10" s="24" t="s">
        <v>12</v>
      </c>
      <c r="I10" s="25">
        <f>IFERROR(VLOOKUP(VALUE(B10), 'คำนวณ '!A:U, 21, FALSE), "")</f>
        <v>1</v>
      </c>
      <c r="J10" s="26">
        <f>IFERROR(VLOOKUP(VALUE(B10), 'คำนวณ '!A:V, 22, FALSE), "")</f>
        <v>1</v>
      </c>
      <c r="K10" s="27" t="s">
        <v>19</v>
      </c>
      <c r="N10" s="28" t="s">
        <v>50</v>
      </c>
      <c r="O10" s="29">
        <f t="shared" si="1"/>
        <v>20</v>
      </c>
      <c r="P10" s="30">
        <f t="shared" si="2"/>
        <v>20</v>
      </c>
      <c r="Q10" s="31">
        <f t="shared" si="3"/>
        <v>0</v>
      </c>
      <c r="T10" s="32" t="s">
        <v>50</v>
      </c>
      <c r="U10" s="33">
        <f t="shared" si="4"/>
        <v>2</v>
      </c>
      <c r="X10" s="26"/>
    </row>
    <row r="11" ht="15.0" customHeight="1">
      <c r="A11" s="11">
        <v>111.0</v>
      </c>
      <c r="B11" s="18" t="s">
        <v>51</v>
      </c>
      <c r="C11" s="36" t="s">
        <v>52</v>
      </c>
      <c r="D11" s="39"/>
      <c r="E11" s="40"/>
      <c r="F11" s="41"/>
      <c r="G11" s="23" t="s">
        <v>18</v>
      </c>
      <c r="H11" s="42"/>
      <c r="I11" s="25" t="str">
        <f>IFERROR(VLOOKUP(VALUE(B11), 'คำนวณ '!A:U, 21, FALSE), "")</f>
        <v/>
      </c>
      <c r="J11" s="26" t="str">
        <f>IFERROR(VLOOKUP(VALUE(B11), 'คำนวณ '!A:V, 22, FALSE), "")</f>
        <v/>
      </c>
      <c r="K11" s="27" t="s">
        <v>19</v>
      </c>
      <c r="N11" s="28" t="s">
        <v>53</v>
      </c>
      <c r="O11" s="29">
        <f t="shared" si="1"/>
        <v>16</v>
      </c>
      <c r="P11" s="30">
        <f t="shared" si="2"/>
        <v>16</v>
      </c>
      <c r="Q11" s="31">
        <f t="shared" si="3"/>
        <v>0</v>
      </c>
      <c r="T11" s="32" t="s">
        <v>53</v>
      </c>
      <c r="U11" s="33">
        <f t="shared" si="4"/>
        <v>2</v>
      </c>
      <c r="X11" s="26"/>
    </row>
    <row r="12" ht="15.0" customHeight="1">
      <c r="A12" s="11">
        <v>111.0</v>
      </c>
      <c r="B12" s="18" t="s">
        <v>54</v>
      </c>
      <c r="C12" s="36" t="s">
        <v>55</v>
      </c>
      <c r="D12" s="20" t="s">
        <v>56</v>
      </c>
      <c r="E12" s="21">
        <v>4.0</v>
      </c>
      <c r="F12" s="22" t="s">
        <v>38</v>
      </c>
      <c r="G12" s="23" t="s">
        <v>20</v>
      </c>
      <c r="H12" s="24" t="s">
        <v>11</v>
      </c>
      <c r="I12" s="25">
        <f>IFERROR(VLOOKUP(VALUE(B12), 'คำนวณ '!A:U, 21, FALSE), "")</f>
        <v>1</v>
      </c>
      <c r="J12" s="26">
        <f>IFERROR(VLOOKUP(VALUE(B12), 'คำนวณ '!A:V, 22, FALSE), "")</f>
        <v>1</v>
      </c>
      <c r="K12" s="47" t="s">
        <v>10</v>
      </c>
      <c r="N12" s="28" t="s">
        <v>57</v>
      </c>
      <c r="O12" s="29">
        <f t="shared" si="1"/>
        <v>26</v>
      </c>
      <c r="P12" s="30">
        <f t="shared" si="2"/>
        <v>26</v>
      </c>
      <c r="Q12" s="31">
        <f t="shared" si="3"/>
        <v>0</v>
      </c>
      <c r="T12" s="32" t="s">
        <v>57</v>
      </c>
      <c r="U12" s="33">
        <f t="shared" si="4"/>
        <v>2</v>
      </c>
      <c r="X12" s="26"/>
    </row>
    <row r="13" ht="15.0" customHeight="1">
      <c r="A13" s="11">
        <v>111.0</v>
      </c>
      <c r="B13" s="18" t="s">
        <v>58</v>
      </c>
      <c r="C13" s="36" t="s">
        <v>59</v>
      </c>
      <c r="D13" s="39"/>
      <c r="E13" s="40"/>
      <c r="F13" s="41"/>
      <c r="G13" s="23" t="s">
        <v>20</v>
      </c>
      <c r="H13" s="42"/>
      <c r="I13" s="25" t="str">
        <f>IFERROR(VLOOKUP(VALUE(B13), 'คำนวณ '!A:U, 21, FALSE), "")</f>
        <v/>
      </c>
      <c r="J13" s="26" t="str">
        <f>IFERROR(VLOOKUP(VALUE(B13), 'คำนวณ '!A:V, 22, FALSE), "")</f>
        <v/>
      </c>
      <c r="K13" s="27" t="s">
        <v>19</v>
      </c>
      <c r="N13" s="28" t="s">
        <v>60</v>
      </c>
      <c r="O13" s="29">
        <f t="shared" si="1"/>
        <v>10</v>
      </c>
      <c r="P13" s="30">
        <f t="shared" si="2"/>
        <v>10</v>
      </c>
      <c r="Q13" s="31">
        <f t="shared" si="3"/>
        <v>0</v>
      </c>
      <c r="T13" s="32" t="s">
        <v>60</v>
      </c>
      <c r="U13" s="33">
        <f t="shared" si="4"/>
        <v>0</v>
      </c>
      <c r="X13" s="26"/>
    </row>
    <row r="14" ht="15.0" customHeight="1">
      <c r="A14" s="11">
        <v>111.0</v>
      </c>
      <c r="B14" s="18" t="s">
        <v>61</v>
      </c>
      <c r="C14" s="36" t="s">
        <v>62</v>
      </c>
      <c r="D14" s="20" t="s">
        <v>56</v>
      </c>
      <c r="E14" s="21">
        <v>4.0</v>
      </c>
      <c r="F14" s="22" t="s">
        <v>38</v>
      </c>
      <c r="G14" s="23" t="s">
        <v>20</v>
      </c>
      <c r="H14" s="24" t="s">
        <v>11</v>
      </c>
      <c r="I14" s="25">
        <f>IFERROR(VLOOKUP(VALUE(B14), 'คำนวณ '!A:U, 21, FALSE), "")</f>
        <v>1</v>
      </c>
      <c r="J14" s="26">
        <f>IFERROR(VLOOKUP(VALUE(B14), 'คำนวณ '!A:V, 22, FALSE), "")</f>
        <v>1</v>
      </c>
      <c r="K14" s="47" t="s">
        <v>10</v>
      </c>
      <c r="N14" s="28" t="s">
        <v>63</v>
      </c>
      <c r="O14" s="29">
        <f t="shared" si="1"/>
        <v>40</v>
      </c>
      <c r="P14" s="30">
        <f t="shared" si="2"/>
        <v>40</v>
      </c>
      <c r="Q14" s="31">
        <f t="shared" si="3"/>
        <v>0</v>
      </c>
      <c r="T14" s="32" t="s">
        <v>63</v>
      </c>
      <c r="U14" s="33">
        <f t="shared" si="4"/>
        <v>4</v>
      </c>
      <c r="X14" s="26"/>
    </row>
    <row r="15" ht="15.0" customHeight="1">
      <c r="A15" s="11">
        <v>111.0</v>
      </c>
      <c r="B15" s="18" t="s">
        <v>64</v>
      </c>
      <c r="C15" s="36" t="s">
        <v>65</v>
      </c>
      <c r="D15" s="39"/>
      <c r="E15" s="40"/>
      <c r="F15" s="41"/>
      <c r="G15" s="23" t="s">
        <v>20</v>
      </c>
      <c r="H15" s="42"/>
      <c r="I15" s="25" t="str">
        <f>IFERROR(VLOOKUP(VALUE(B15), 'คำนวณ '!A:U, 21, FALSE), "")</f>
        <v/>
      </c>
      <c r="J15" s="26" t="str">
        <f>IFERROR(VLOOKUP(VALUE(B15), 'คำนวณ '!A:V, 22, FALSE), "")</f>
        <v/>
      </c>
      <c r="K15" s="27" t="s">
        <v>19</v>
      </c>
      <c r="N15" s="28" t="s">
        <v>66</v>
      </c>
      <c r="O15" s="29">
        <f t="shared" si="1"/>
        <v>17</v>
      </c>
      <c r="P15" s="30">
        <f t="shared" si="2"/>
        <v>17</v>
      </c>
      <c r="Q15" s="31">
        <f t="shared" si="3"/>
        <v>0</v>
      </c>
      <c r="T15" s="32" t="s">
        <v>66</v>
      </c>
      <c r="U15" s="33">
        <f t="shared" si="4"/>
        <v>8</v>
      </c>
      <c r="X15" s="26"/>
    </row>
    <row r="16" ht="15.0" customHeight="1">
      <c r="A16" s="11">
        <v>111.0</v>
      </c>
      <c r="B16" s="18" t="s">
        <v>67</v>
      </c>
      <c r="C16" s="36" t="s">
        <v>68</v>
      </c>
      <c r="D16" s="39"/>
      <c r="E16" s="40"/>
      <c r="F16" s="41"/>
      <c r="G16" s="23" t="s">
        <v>18</v>
      </c>
      <c r="H16" s="42"/>
      <c r="I16" s="25" t="str">
        <f>IFERROR(VLOOKUP(VALUE(B16), 'คำนวณ '!A:U, 21, FALSE), "")</f>
        <v/>
      </c>
      <c r="J16" s="26" t="str">
        <f>IFERROR(VLOOKUP(VALUE(B16), 'คำนวณ '!A:V, 22, FALSE), "")</f>
        <v/>
      </c>
      <c r="K16" s="27" t="s">
        <v>19</v>
      </c>
      <c r="N16" s="28" t="s">
        <v>69</v>
      </c>
      <c r="O16" s="29">
        <f t="shared" si="1"/>
        <v>19</v>
      </c>
      <c r="P16" s="30">
        <f t="shared" si="2"/>
        <v>19</v>
      </c>
      <c r="Q16" s="31">
        <f t="shared" si="3"/>
        <v>0</v>
      </c>
      <c r="T16" s="32" t="s">
        <v>69</v>
      </c>
      <c r="U16" s="33">
        <f t="shared" si="4"/>
        <v>7</v>
      </c>
      <c r="X16" s="26"/>
    </row>
    <row r="17" ht="15.0" customHeight="1">
      <c r="A17" s="11">
        <v>111.0</v>
      </c>
      <c r="B17" s="18" t="s">
        <v>70</v>
      </c>
      <c r="C17" s="36" t="s">
        <v>71</v>
      </c>
      <c r="D17" s="20" t="s">
        <v>56</v>
      </c>
      <c r="E17" s="21">
        <v>6.0</v>
      </c>
      <c r="F17" s="22" t="s">
        <v>72</v>
      </c>
      <c r="G17" s="23" t="s">
        <v>20</v>
      </c>
      <c r="H17" s="24" t="s">
        <v>11</v>
      </c>
      <c r="I17" s="25">
        <f>IFERROR(VLOOKUP(VALUE(B17), 'คำนวณ '!A:U, 21, FALSE), "")</f>
        <v>1</v>
      </c>
      <c r="J17" s="26">
        <f>IFERROR(VLOOKUP(VALUE(B17), 'คำนวณ '!A:V, 22, FALSE), "")</f>
        <v>1</v>
      </c>
      <c r="K17" s="47" t="s">
        <v>10</v>
      </c>
      <c r="N17" s="28" t="s">
        <v>73</v>
      </c>
      <c r="O17" s="29">
        <f t="shared" si="1"/>
        <v>29</v>
      </c>
      <c r="P17" s="30">
        <f t="shared" si="2"/>
        <v>29</v>
      </c>
      <c r="Q17" s="31">
        <f t="shared" si="3"/>
        <v>0</v>
      </c>
      <c r="T17" s="32" t="s">
        <v>73</v>
      </c>
      <c r="U17" s="33">
        <f t="shared" si="4"/>
        <v>4</v>
      </c>
      <c r="X17" s="26"/>
    </row>
    <row r="18" ht="15.0" customHeight="1">
      <c r="A18" s="11">
        <v>112.0</v>
      </c>
      <c r="B18" s="18" t="s">
        <v>74</v>
      </c>
      <c r="C18" s="36" t="s">
        <v>75</v>
      </c>
      <c r="D18" s="20" t="s">
        <v>76</v>
      </c>
      <c r="E18" s="21">
        <v>8.0</v>
      </c>
      <c r="F18" s="22" t="s">
        <v>77</v>
      </c>
      <c r="G18" s="23" t="s">
        <v>18</v>
      </c>
      <c r="H18" s="24" t="s">
        <v>12</v>
      </c>
      <c r="I18" s="25">
        <f>IFERROR(VLOOKUP(VALUE(B18), 'คำนวณ '!A:U, 21, FALSE), "")</f>
        <v>1</v>
      </c>
      <c r="J18" s="26">
        <f>IFERROR(VLOOKUP(VALUE(B18), 'คำนวณ '!A:V, 22, FALSE), "")</f>
        <v>1</v>
      </c>
      <c r="K18" s="27" t="s">
        <v>19</v>
      </c>
      <c r="N18" s="28" t="s">
        <v>76</v>
      </c>
      <c r="O18" s="29">
        <f t="shared" si="1"/>
        <v>20</v>
      </c>
      <c r="P18" s="30">
        <f t="shared" si="2"/>
        <v>14</v>
      </c>
      <c r="Q18" s="31">
        <f t="shared" si="3"/>
        <v>6</v>
      </c>
      <c r="T18" s="32" t="s">
        <v>76</v>
      </c>
      <c r="U18" s="33">
        <f t="shared" si="4"/>
        <v>0</v>
      </c>
      <c r="X18" s="26"/>
    </row>
    <row r="19" ht="15.0" customHeight="1">
      <c r="A19" s="11">
        <v>112.0</v>
      </c>
      <c r="B19" s="18" t="s">
        <v>78</v>
      </c>
      <c r="C19" s="36" t="s">
        <v>79</v>
      </c>
      <c r="D19" s="39"/>
      <c r="E19" s="40"/>
      <c r="F19" s="41"/>
      <c r="G19" s="23" t="s">
        <v>18</v>
      </c>
      <c r="H19" s="42"/>
      <c r="I19" s="25" t="str">
        <f>IFERROR(VLOOKUP(VALUE(B19), 'คำนวณ '!A:U, 21, FALSE), "")</f>
        <v/>
      </c>
      <c r="J19" s="26" t="str">
        <f>IFERROR(VLOOKUP(VALUE(B19), 'คำนวณ '!A:V, 22, FALSE), "")</f>
        <v/>
      </c>
      <c r="K19" s="27" t="s">
        <v>19</v>
      </c>
      <c r="N19" s="28" t="s">
        <v>80</v>
      </c>
      <c r="O19" s="29">
        <f t="shared" si="1"/>
        <v>34</v>
      </c>
      <c r="P19" s="30">
        <f t="shared" si="2"/>
        <v>33</v>
      </c>
      <c r="Q19" s="31">
        <f t="shared" si="3"/>
        <v>1</v>
      </c>
      <c r="T19" s="32" t="s">
        <v>80</v>
      </c>
      <c r="U19" s="33">
        <f t="shared" si="4"/>
        <v>0</v>
      </c>
      <c r="X19" s="26"/>
    </row>
    <row r="20" ht="15.0" customHeight="1">
      <c r="A20" s="11">
        <v>112.0</v>
      </c>
      <c r="B20" s="18" t="s">
        <v>81</v>
      </c>
      <c r="C20" s="36" t="s">
        <v>82</v>
      </c>
      <c r="D20" s="20" t="s">
        <v>76</v>
      </c>
      <c r="E20" s="21">
        <v>2.0</v>
      </c>
      <c r="F20" s="22" t="s">
        <v>83</v>
      </c>
      <c r="G20" s="23" t="s">
        <v>18</v>
      </c>
      <c r="H20" s="24" t="s">
        <v>12</v>
      </c>
      <c r="I20" s="25">
        <f>IFERROR(VLOOKUP(VALUE(B20), 'คำนวณ '!A:U, 21, FALSE), "")</f>
        <v>1</v>
      </c>
      <c r="J20" s="26">
        <f>IFERROR(VLOOKUP(VALUE(B20), 'คำนวณ '!A:V, 22, FALSE), "")</f>
        <v>1</v>
      </c>
      <c r="K20" s="27" t="s">
        <v>19</v>
      </c>
      <c r="N20" s="28" t="s">
        <v>84</v>
      </c>
      <c r="O20" s="29">
        <f t="shared" si="1"/>
        <v>10</v>
      </c>
      <c r="P20" s="30">
        <f t="shared" si="2"/>
        <v>10</v>
      </c>
      <c r="Q20" s="31">
        <f t="shared" si="3"/>
        <v>0</v>
      </c>
      <c r="T20" s="32" t="s">
        <v>84</v>
      </c>
      <c r="U20" s="33">
        <f t="shared" si="4"/>
        <v>0</v>
      </c>
      <c r="X20" s="26"/>
    </row>
    <row r="21" ht="15.0" customHeight="1">
      <c r="A21" s="11">
        <v>112.0</v>
      </c>
      <c r="B21" s="18" t="s">
        <v>85</v>
      </c>
      <c r="C21" s="36" t="s">
        <v>86</v>
      </c>
      <c r="D21" s="20" t="s">
        <v>76</v>
      </c>
      <c r="E21" s="21">
        <v>4.0</v>
      </c>
      <c r="F21" s="22" t="s">
        <v>38</v>
      </c>
      <c r="G21" s="23" t="s">
        <v>18</v>
      </c>
      <c r="H21" s="24" t="s">
        <v>12</v>
      </c>
      <c r="I21" s="25">
        <f>IFERROR(VLOOKUP(VALUE(B21), 'คำนวณ '!A:U, 21, FALSE), "")</f>
        <v>1</v>
      </c>
      <c r="J21" s="26">
        <f>IFERROR(VLOOKUP(VALUE(B21), 'คำนวณ '!A:V, 22, FALSE), "")</f>
        <v>1</v>
      </c>
      <c r="K21" s="27" t="s">
        <v>19</v>
      </c>
      <c r="N21" s="28" t="s">
        <v>87</v>
      </c>
      <c r="O21" s="29">
        <f t="shared" si="1"/>
        <v>8</v>
      </c>
      <c r="P21" s="30">
        <f t="shared" si="2"/>
        <v>8</v>
      </c>
      <c r="Q21" s="31">
        <f t="shared" si="3"/>
        <v>0</v>
      </c>
      <c r="T21" s="32" t="s">
        <v>87</v>
      </c>
      <c r="U21" s="33">
        <f t="shared" si="4"/>
        <v>0</v>
      </c>
      <c r="X21" s="26"/>
    </row>
    <row r="22" ht="15.0" customHeight="1">
      <c r="A22" s="11">
        <v>112.0</v>
      </c>
      <c r="B22" s="18" t="s">
        <v>88</v>
      </c>
      <c r="C22" s="36" t="s">
        <v>89</v>
      </c>
      <c r="D22" s="20" t="s">
        <v>76</v>
      </c>
      <c r="E22" s="21">
        <v>2.0</v>
      </c>
      <c r="F22" s="22" t="s">
        <v>83</v>
      </c>
      <c r="G22" s="23" t="s">
        <v>18</v>
      </c>
      <c r="H22" s="24" t="s">
        <v>12</v>
      </c>
      <c r="I22" s="25">
        <f>IFERROR(VLOOKUP(VALUE(B22), 'คำนวณ '!A:U, 21, FALSE), "")</f>
        <v>1</v>
      </c>
      <c r="J22" s="26">
        <f>IFERROR(VLOOKUP(VALUE(B22), 'คำนวณ '!A:V, 22, FALSE), "")</f>
        <v>1</v>
      </c>
      <c r="K22" s="27" t="s">
        <v>19</v>
      </c>
      <c r="N22" s="28" t="s">
        <v>90</v>
      </c>
      <c r="O22" s="29">
        <f t="shared" si="1"/>
        <v>11</v>
      </c>
      <c r="P22" s="30">
        <f t="shared" si="2"/>
        <v>2</v>
      </c>
      <c r="Q22" s="31">
        <f t="shared" si="3"/>
        <v>9</v>
      </c>
      <c r="T22" s="32" t="s">
        <v>90</v>
      </c>
      <c r="U22" s="33">
        <f t="shared" si="4"/>
        <v>2</v>
      </c>
      <c r="X22" s="26"/>
    </row>
    <row r="23" ht="15.0" customHeight="1">
      <c r="A23" s="11">
        <v>112.0</v>
      </c>
      <c r="B23" s="18" t="s">
        <v>91</v>
      </c>
      <c r="C23" s="36" t="s">
        <v>92</v>
      </c>
      <c r="D23" s="20" t="s">
        <v>76</v>
      </c>
      <c r="E23" s="21">
        <v>2.0</v>
      </c>
      <c r="F23" s="22" t="s">
        <v>83</v>
      </c>
      <c r="G23" s="23" t="s">
        <v>18</v>
      </c>
      <c r="H23" s="24" t="s">
        <v>12</v>
      </c>
      <c r="I23" s="25">
        <f>IFERROR(VLOOKUP(VALUE(B23), 'คำนวณ '!A:U, 21, FALSE), "")</f>
        <v>1</v>
      </c>
      <c r="J23" s="26">
        <f>IFERROR(VLOOKUP(VALUE(B23), 'คำนวณ '!A:V, 22, FALSE), "")</f>
        <v>1</v>
      </c>
      <c r="K23" s="27" t="s">
        <v>19</v>
      </c>
      <c r="N23" s="50" t="s">
        <v>56</v>
      </c>
      <c r="O23" s="51">
        <f t="shared" si="1"/>
        <v>14</v>
      </c>
      <c r="P23" s="52">
        <f t="shared" si="2"/>
        <v>4</v>
      </c>
      <c r="Q23" s="53">
        <f t="shared" si="3"/>
        <v>10</v>
      </c>
      <c r="T23" s="32" t="s">
        <v>56</v>
      </c>
      <c r="U23" s="33">
        <f t="shared" si="4"/>
        <v>3</v>
      </c>
      <c r="X23" s="26"/>
    </row>
    <row r="24" ht="15.0" customHeight="1">
      <c r="A24" s="11">
        <v>112.0</v>
      </c>
      <c r="B24" s="18" t="s">
        <v>93</v>
      </c>
      <c r="C24" s="36" t="s">
        <v>94</v>
      </c>
      <c r="D24" s="20" t="s">
        <v>76</v>
      </c>
      <c r="E24" s="21">
        <v>2.0</v>
      </c>
      <c r="F24" s="22" t="s">
        <v>83</v>
      </c>
      <c r="G24" s="23" t="s">
        <v>18</v>
      </c>
      <c r="H24" s="24" t="s">
        <v>12</v>
      </c>
      <c r="I24" s="25">
        <f>IFERROR(VLOOKUP(VALUE(B24), 'คำนวณ '!A:U, 21, FALSE), "")</f>
        <v>1</v>
      </c>
      <c r="J24" s="26">
        <f>IFERROR(VLOOKUP(VALUE(B24), 'คำนวณ '!A:V, 22, FALSE), "")</f>
        <v>1</v>
      </c>
      <c r="K24" s="27" t="s">
        <v>19</v>
      </c>
      <c r="N24" s="50"/>
      <c r="O24" s="51"/>
      <c r="P24" s="52">
        <f t="shared" ref="P24:Q24" si="6">SUM(P2:P23)</f>
        <v>363</v>
      </c>
      <c r="Q24" s="53">
        <f t="shared" si="6"/>
        <v>113</v>
      </c>
      <c r="T24" s="54"/>
      <c r="U24" s="55">
        <f>SUM(U2:U23)</f>
        <v>83</v>
      </c>
      <c r="X24" s="26"/>
    </row>
    <row r="25" ht="15.0" customHeight="1">
      <c r="A25" s="11">
        <v>112.0</v>
      </c>
      <c r="B25" s="18" t="s">
        <v>95</v>
      </c>
      <c r="C25" s="36" t="s">
        <v>96</v>
      </c>
      <c r="D25" s="39"/>
      <c r="E25" s="40"/>
      <c r="F25" s="41"/>
      <c r="G25" s="23" t="s">
        <v>18</v>
      </c>
      <c r="H25" s="42"/>
      <c r="I25" s="25" t="str">
        <f>IFERROR(VLOOKUP(VALUE(B25), 'คำนวณ '!A:U, 21, FALSE), "")</f>
        <v/>
      </c>
      <c r="J25" s="26" t="str">
        <f>IFERROR(VLOOKUP(VALUE(B25), 'คำนวณ '!A:V, 22, FALSE), "")</f>
        <v/>
      </c>
      <c r="K25" s="27" t="s">
        <v>19</v>
      </c>
      <c r="P25" s="56">
        <f>sum(P24:Q24)</f>
        <v>476</v>
      </c>
      <c r="U25" s="57"/>
      <c r="X25" s="26"/>
    </row>
    <row r="26" ht="15.0" customHeight="1">
      <c r="A26" s="11">
        <v>112.0</v>
      </c>
      <c r="B26" s="18" t="s">
        <v>97</v>
      </c>
      <c r="C26" s="36" t="s">
        <v>98</v>
      </c>
      <c r="D26" s="39"/>
      <c r="E26" s="40"/>
      <c r="F26" s="41"/>
      <c r="G26" s="23" t="s">
        <v>18</v>
      </c>
      <c r="H26" s="42"/>
      <c r="I26" s="25" t="str">
        <f>IFERROR(VLOOKUP(VALUE(B26), 'คำนวณ '!A:U, 21, FALSE), "")</f>
        <v/>
      </c>
      <c r="J26" s="26" t="str">
        <f>IFERROR(VLOOKUP(VALUE(B26), 'คำนวณ '!A:V, 22, FALSE), "")</f>
        <v/>
      </c>
      <c r="K26" s="27" t="s">
        <v>19</v>
      </c>
      <c r="U26" s="57"/>
      <c r="X26" s="26"/>
    </row>
    <row r="27" ht="15.0" customHeight="1">
      <c r="A27" s="11">
        <v>112.0</v>
      </c>
      <c r="B27" s="18" t="s">
        <v>99</v>
      </c>
      <c r="C27" s="36" t="s">
        <v>100</v>
      </c>
      <c r="D27" s="20" t="s">
        <v>56</v>
      </c>
      <c r="E27" s="21">
        <v>4.0</v>
      </c>
      <c r="F27" s="22" t="s">
        <v>38</v>
      </c>
      <c r="G27" s="23" t="s">
        <v>18</v>
      </c>
      <c r="H27" s="24" t="s">
        <v>12</v>
      </c>
      <c r="I27" s="25">
        <f>IFERROR(VLOOKUP(VALUE(B27), 'คำนวณ '!A:U, 21, FALSE), "")</f>
        <v>1</v>
      </c>
      <c r="J27" s="26" t="str">
        <f>IFERROR(VLOOKUP(VALUE(B27), 'คำนวณ '!A:V, 22, FALSE), "")</f>
        <v/>
      </c>
      <c r="K27" s="27" t="s">
        <v>19</v>
      </c>
      <c r="U27" s="57"/>
      <c r="X27" s="26"/>
    </row>
    <row r="28" ht="15.0" customHeight="1">
      <c r="A28" s="11">
        <v>112.0</v>
      </c>
      <c r="B28" s="18" t="s">
        <v>101</v>
      </c>
      <c r="C28" s="36" t="s">
        <v>102</v>
      </c>
      <c r="D28" s="20" t="s">
        <v>56</v>
      </c>
      <c r="E28" s="21">
        <v>4.0</v>
      </c>
      <c r="F28" s="22" t="s">
        <v>38</v>
      </c>
      <c r="G28" s="23" t="s">
        <v>18</v>
      </c>
      <c r="H28" s="24" t="s">
        <v>12</v>
      </c>
      <c r="I28" s="25">
        <f>IFERROR(VLOOKUP(VALUE(B28), 'คำนวณ '!A:U, 21, FALSE), "")</f>
        <v>1</v>
      </c>
      <c r="J28" s="26">
        <f>IFERROR(VLOOKUP(VALUE(B28), 'คำนวณ '!A:V, 22, FALSE), "")</f>
        <v>1</v>
      </c>
      <c r="K28" s="27" t="s">
        <v>19</v>
      </c>
      <c r="U28" s="57"/>
      <c r="X28" s="26"/>
    </row>
    <row r="29" ht="15.0" customHeight="1">
      <c r="A29" s="11">
        <v>112.0</v>
      </c>
      <c r="B29" s="18" t="s">
        <v>103</v>
      </c>
      <c r="C29" s="36" t="s">
        <v>104</v>
      </c>
      <c r="D29" s="20" t="s">
        <v>56</v>
      </c>
      <c r="E29" s="21">
        <v>4.0</v>
      </c>
      <c r="F29" s="22" t="s">
        <v>38</v>
      </c>
      <c r="G29" s="23" t="s">
        <v>18</v>
      </c>
      <c r="H29" s="24" t="s">
        <v>12</v>
      </c>
      <c r="I29" s="25">
        <f>IFERROR(VLOOKUP(VALUE(B29), 'คำนวณ '!A:U, 21, FALSE), "")</f>
        <v>1</v>
      </c>
      <c r="J29" s="26">
        <f>IFERROR(VLOOKUP(VALUE(B29), 'คำนวณ '!A:V, 22, FALSE), "")</f>
        <v>1</v>
      </c>
      <c r="K29" s="27" t="s">
        <v>19</v>
      </c>
      <c r="U29" s="57"/>
      <c r="X29" s="26"/>
    </row>
    <row r="30" ht="15.0" customHeight="1">
      <c r="A30" s="11">
        <v>112.0</v>
      </c>
      <c r="B30" s="18" t="s">
        <v>105</v>
      </c>
      <c r="C30" s="36" t="s">
        <v>106</v>
      </c>
      <c r="D30" s="39"/>
      <c r="E30" s="40"/>
      <c r="F30" s="41"/>
      <c r="G30" s="23" t="s">
        <v>18</v>
      </c>
      <c r="H30" s="42"/>
      <c r="I30" s="25" t="str">
        <f>IFERROR(VLOOKUP(VALUE(B30), 'คำนวณ '!A:U, 21, FALSE), "")</f>
        <v/>
      </c>
      <c r="J30" s="26" t="str">
        <f>IFERROR(VLOOKUP(VALUE(B30), 'คำนวณ '!A:V, 22, FALSE), "")</f>
        <v/>
      </c>
      <c r="K30" s="27" t="s">
        <v>19</v>
      </c>
      <c r="U30" s="57"/>
      <c r="X30" s="26"/>
    </row>
    <row r="31" ht="15.0" customHeight="1">
      <c r="A31" s="11">
        <v>112.0</v>
      </c>
      <c r="B31" s="18" t="s">
        <v>107</v>
      </c>
      <c r="C31" s="36" t="s">
        <v>108</v>
      </c>
      <c r="D31" s="20" t="s">
        <v>56</v>
      </c>
      <c r="E31" s="21">
        <v>4.0</v>
      </c>
      <c r="F31" s="22" t="s">
        <v>38</v>
      </c>
      <c r="G31" s="23" t="s">
        <v>18</v>
      </c>
      <c r="H31" s="24" t="s">
        <v>12</v>
      </c>
      <c r="I31" s="25">
        <f>IFERROR(VLOOKUP(VALUE(B31), 'คำนวณ '!A:U, 21, FALSE), "")</f>
        <v>1</v>
      </c>
      <c r="J31" s="26">
        <f>IFERROR(VLOOKUP(VALUE(B31), 'คำนวณ '!A:V, 22, FALSE), "")</f>
        <v>1</v>
      </c>
      <c r="K31" s="27" t="s">
        <v>19</v>
      </c>
      <c r="U31" s="57"/>
      <c r="X31" s="26"/>
    </row>
    <row r="32" ht="15.0" customHeight="1">
      <c r="A32" s="11">
        <v>112.0</v>
      </c>
      <c r="B32" s="18" t="s">
        <v>109</v>
      </c>
      <c r="C32" s="36" t="s">
        <v>110</v>
      </c>
      <c r="D32" s="39"/>
      <c r="E32" s="40"/>
      <c r="F32" s="41"/>
      <c r="G32" s="23" t="s">
        <v>18</v>
      </c>
      <c r="H32" s="42"/>
      <c r="I32" s="25" t="str">
        <f>IFERROR(VLOOKUP(VALUE(B32), 'คำนวณ '!A:U, 21, FALSE), "")</f>
        <v/>
      </c>
      <c r="J32" s="26" t="str">
        <f>IFERROR(VLOOKUP(VALUE(B32), 'คำนวณ '!A:V, 22, FALSE), "")</f>
        <v/>
      </c>
      <c r="K32" s="27" t="s">
        <v>19</v>
      </c>
      <c r="U32" s="57"/>
      <c r="X32" s="26"/>
    </row>
    <row r="33" ht="15.0" customHeight="1">
      <c r="A33" s="11">
        <v>112.0</v>
      </c>
      <c r="B33" s="18" t="s">
        <v>111</v>
      </c>
      <c r="C33" s="36" t="s">
        <v>112</v>
      </c>
      <c r="D33" s="20" t="s">
        <v>56</v>
      </c>
      <c r="E33" s="21">
        <v>4.0</v>
      </c>
      <c r="F33" s="22" t="s">
        <v>38</v>
      </c>
      <c r="G33" s="23" t="s">
        <v>18</v>
      </c>
      <c r="H33" s="24" t="s">
        <v>12</v>
      </c>
      <c r="I33" s="25">
        <f>IFERROR(VLOOKUP(VALUE(B33), 'คำนวณ '!A:U, 21, FALSE), "")</f>
        <v>1</v>
      </c>
      <c r="J33" s="26">
        <f>IFERROR(VLOOKUP(VALUE(B33), 'คำนวณ '!A:V, 22, FALSE), "")</f>
        <v>1</v>
      </c>
      <c r="K33" s="27" t="s">
        <v>19</v>
      </c>
      <c r="U33" s="57"/>
      <c r="X33" s="26"/>
    </row>
    <row r="34" ht="15.0" customHeight="1">
      <c r="A34" s="11">
        <v>112.0</v>
      </c>
      <c r="B34" s="18" t="s">
        <v>113</v>
      </c>
      <c r="C34" s="36" t="s">
        <v>114</v>
      </c>
      <c r="D34" s="20" t="s">
        <v>56</v>
      </c>
      <c r="E34" s="21">
        <v>4.0</v>
      </c>
      <c r="F34" s="22" t="s">
        <v>38</v>
      </c>
      <c r="G34" s="23" t="s">
        <v>18</v>
      </c>
      <c r="H34" s="24" t="s">
        <v>12</v>
      </c>
      <c r="I34" s="25">
        <f>IFERROR(VLOOKUP(VALUE(B34), 'คำนวณ '!A:U, 21, FALSE), "")</f>
        <v>1</v>
      </c>
      <c r="J34" s="26">
        <f>IFERROR(VLOOKUP(VALUE(B34), 'คำนวณ '!A:V, 22, FALSE), "")</f>
        <v>1</v>
      </c>
      <c r="K34" s="27" t="s">
        <v>19</v>
      </c>
      <c r="U34" s="57"/>
      <c r="X34" s="26"/>
    </row>
    <row r="35" ht="15.0" customHeight="1">
      <c r="A35" s="11">
        <v>112.0</v>
      </c>
      <c r="B35" s="18" t="s">
        <v>115</v>
      </c>
      <c r="C35" s="36" t="s">
        <v>116</v>
      </c>
      <c r="D35" s="20" t="s">
        <v>56</v>
      </c>
      <c r="E35" s="21">
        <v>4.0</v>
      </c>
      <c r="F35" s="22" t="s">
        <v>38</v>
      </c>
      <c r="G35" s="23" t="s">
        <v>18</v>
      </c>
      <c r="H35" s="24" t="s">
        <v>12</v>
      </c>
      <c r="I35" s="25">
        <f>IFERROR(VLOOKUP(VALUE(B35), 'คำนวณ '!A:U, 21, FALSE), "")</f>
        <v>1</v>
      </c>
      <c r="J35" s="26" t="str">
        <f>IFERROR(VLOOKUP(VALUE(B35), 'คำนวณ '!A:V, 22, FALSE), "")</f>
        <v/>
      </c>
      <c r="K35" s="27" t="s">
        <v>19</v>
      </c>
      <c r="U35" s="57"/>
      <c r="X35" s="26"/>
    </row>
    <row r="36" ht="15.0" customHeight="1">
      <c r="A36" s="11">
        <v>112.0</v>
      </c>
      <c r="B36" s="18" t="s">
        <v>117</v>
      </c>
      <c r="C36" s="36" t="s">
        <v>118</v>
      </c>
      <c r="D36" s="39"/>
      <c r="E36" s="40"/>
      <c r="F36" s="41"/>
      <c r="G36" s="23" t="s">
        <v>18</v>
      </c>
      <c r="H36" s="42"/>
      <c r="I36" s="25" t="str">
        <f>IFERROR(VLOOKUP(VALUE(B36), 'คำนวณ '!A:U, 21, FALSE), "")</f>
        <v/>
      </c>
      <c r="J36" s="26" t="str">
        <f>IFERROR(VLOOKUP(VALUE(B36), 'คำนวณ '!A:V, 22, FALSE), "")</f>
        <v/>
      </c>
      <c r="K36" s="27" t="s">
        <v>19</v>
      </c>
      <c r="U36" s="57"/>
      <c r="X36" s="26"/>
    </row>
    <row r="37" ht="15.0" customHeight="1">
      <c r="A37" s="11">
        <v>112.0</v>
      </c>
      <c r="B37" s="18" t="s">
        <v>119</v>
      </c>
      <c r="C37" s="36" t="s">
        <v>120</v>
      </c>
      <c r="D37" s="20" t="s">
        <v>56</v>
      </c>
      <c r="E37" s="21">
        <v>8.0</v>
      </c>
      <c r="F37" s="22" t="s">
        <v>121</v>
      </c>
      <c r="G37" s="23" t="s">
        <v>18</v>
      </c>
      <c r="H37" s="24" t="s">
        <v>12</v>
      </c>
      <c r="I37" s="25">
        <f>IFERROR(VLOOKUP(VALUE(B37), 'คำนวณ '!A:U, 21, FALSE), "")</f>
        <v>1</v>
      </c>
      <c r="J37" s="26">
        <f>IFERROR(VLOOKUP(VALUE(B37), 'คำนวณ '!A:V, 22, FALSE), "")</f>
        <v>1</v>
      </c>
      <c r="K37" s="27" t="s">
        <v>19</v>
      </c>
      <c r="U37" s="57"/>
      <c r="X37" s="26"/>
    </row>
    <row r="38" ht="15.0" customHeight="1">
      <c r="A38" s="11">
        <v>112.0</v>
      </c>
      <c r="B38" s="18" t="s">
        <v>122</v>
      </c>
      <c r="C38" s="36" t="s">
        <v>123</v>
      </c>
      <c r="D38" s="39"/>
      <c r="E38" s="40"/>
      <c r="F38" s="41"/>
      <c r="G38" s="23" t="s">
        <v>18</v>
      </c>
      <c r="H38" s="42"/>
      <c r="I38" s="25" t="str">
        <f>IFERROR(VLOOKUP(VALUE(B38), 'คำนวณ '!A:U, 21, FALSE), "")</f>
        <v/>
      </c>
      <c r="J38" s="26" t="str">
        <f>IFERROR(VLOOKUP(VALUE(B38), 'คำนวณ '!A:V, 22, FALSE), "")</f>
        <v/>
      </c>
      <c r="K38" s="27" t="s">
        <v>19</v>
      </c>
      <c r="U38" s="57"/>
      <c r="X38" s="26"/>
    </row>
    <row r="39" ht="15.0" customHeight="1">
      <c r="A39" s="11">
        <v>112.0</v>
      </c>
      <c r="B39" s="18" t="s">
        <v>124</v>
      </c>
      <c r="C39" s="36" t="s">
        <v>125</v>
      </c>
      <c r="D39" s="39"/>
      <c r="E39" s="40"/>
      <c r="F39" s="41"/>
      <c r="G39" s="23" t="s">
        <v>18</v>
      </c>
      <c r="H39" s="42"/>
      <c r="I39" s="25" t="str">
        <f>IFERROR(VLOOKUP(VALUE(B39), 'คำนวณ '!A:U, 21, FALSE), "")</f>
        <v/>
      </c>
      <c r="J39" s="26" t="str">
        <f>IFERROR(VLOOKUP(VALUE(B39), 'คำนวณ '!A:V, 22, FALSE), "")</f>
        <v/>
      </c>
      <c r="K39" s="27" t="s">
        <v>19</v>
      </c>
      <c r="U39" s="57"/>
      <c r="X39" s="26"/>
    </row>
    <row r="40" ht="15.0" customHeight="1">
      <c r="A40" s="11">
        <v>112.0</v>
      </c>
      <c r="B40" s="18" t="s">
        <v>126</v>
      </c>
      <c r="C40" s="36" t="s">
        <v>127</v>
      </c>
      <c r="D40" s="39"/>
      <c r="E40" s="40"/>
      <c r="F40" s="41"/>
      <c r="G40" s="23" t="s">
        <v>18</v>
      </c>
      <c r="H40" s="42"/>
      <c r="I40" s="25" t="str">
        <f>IFERROR(VLOOKUP(VALUE(B40), 'คำนวณ '!A:U, 21, FALSE), "")</f>
        <v/>
      </c>
      <c r="J40" s="26" t="str">
        <f>IFERROR(VLOOKUP(VALUE(B40), 'คำนวณ '!A:V, 22, FALSE), "")</f>
        <v/>
      </c>
      <c r="K40" s="27" t="s">
        <v>19</v>
      </c>
      <c r="U40" s="57"/>
      <c r="X40" s="26"/>
    </row>
    <row r="41" ht="15.0" customHeight="1">
      <c r="A41" s="11">
        <v>112.0</v>
      </c>
      <c r="B41" s="18" t="s">
        <v>128</v>
      </c>
      <c r="C41" s="36" t="s">
        <v>129</v>
      </c>
      <c r="D41" s="20" t="s">
        <v>90</v>
      </c>
      <c r="E41" s="21">
        <v>4.0</v>
      </c>
      <c r="F41" s="22" t="s">
        <v>38</v>
      </c>
      <c r="G41" s="23" t="s">
        <v>18</v>
      </c>
      <c r="H41" s="24" t="s">
        <v>12</v>
      </c>
      <c r="I41" s="25">
        <f>IFERROR(VLOOKUP(VALUE(B41), 'คำนวณ '!A:U, 21, FALSE), "")</f>
        <v>1</v>
      </c>
      <c r="J41" s="26">
        <f>IFERROR(VLOOKUP(VALUE(B41), 'คำนวณ '!A:V, 22, FALSE), "")</f>
        <v>1</v>
      </c>
      <c r="K41" s="27" t="s">
        <v>19</v>
      </c>
      <c r="U41" s="57"/>
      <c r="X41" s="26"/>
    </row>
    <row r="42" ht="15.0" customHeight="1">
      <c r="A42" s="11">
        <v>112.0</v>
      </c>
      <c r="B42" s="18" t="s">
        <v>130</v>
      </c>
      <c r="C42" s="36" t="s">
        <v>131</v>
      </c>
      <c r="D42" s="20" t="s">
        <v>90</v>
      </c>
      <c r="E42" s="21">
        <v>4.0</v>
      </c>
      <c r="F42" s="22" t="s">
        <v>38</v>
      </c>
      <c r="G42" s="23" t="s">
        <v>18</v>
      </c>
      <c r="H42" s="24" t="s">
        <v>12</v>
      </c>
      <c r="I42" s="25">
        <f>IFERROR(VLOOKUP(VALUE(B42), 'คำนวณ '!A:U, 21, FALSE), "")</f>
        <v>1</v>
      </c>
      <c r="J42" s="26">
        <f>IFERROR(VLOOKUP(VALUE(B42), 'คำนวณ '!A:V, 22, FALSE), "")</f>
        <v>1</v>
      </c>
      <c r="K42" s="27" t="s">
        <v>19</v>
      </c>
      <c r="U42" s="57"/>
      <c r="X42" s="26"/>
    </row>
    <row r="43" ht="15.0" customHeight="1">
      <c r="A43" s="11">
        <v>112.0</v>
      </c>
      <c r="B43" s="18" t="s">
        <v>132</v>
      </c>
      <c r="C43" s="36" t="s">
        <v>133</v>
      </c>
      <c r="D43" s="20" t="s">
        <v>90</v>
      </c>
      <c r="E43" s="21">
        <v>4.0</v>
      </c>
      <c r="F43" s="22" t="s">
        <v>38</v>
      </c>
      <c r="G43" s="23" t="s">
        <v>18</v>
      </c>
      <c r="H43" s="24" t="s">
        <v>12</v>
      </c>
      <c r="I43" s="25">
        <f>IFERROR(VLOOKUP(VALUE(B43), 'คำนวณ '!A:U, 21, FALSE), "")</f>
        <v>1</v>
      </c>
      <c r="J43" s="26">
        <f>IFERROR(VLOOKUP(VALUE(B43), 'คำนวณ '!A:V, 22, FALSE), "")</f>
        <v>1</v>
      </c>
      <c r="K43" s="27" t="s">
        <v>19</v>
      </c>
      <c r="U43" s="57"/>
      <c r="X43" s="26"/>
    </row>
    <row r="44" ht="15.0" customHeight="1">
      <c r="A44" s="11">
        <v>112.0</v>
      </c>
      <c r="B44" s="18" t="s">
        <v>134</v>
      </c>
      <c r="C44" s="36" t="s">
        <v>135</v>
      </c>
      <c r="D44" s="20" t="s">
        <v>90</v>
      </c>
      <c r="E44" s="21">
        <v>4.0</v>
      </c>
      <c r="F44" s="22" t="s">
        <v>38</v>
      </c>
      <c r="G44" s="23" t="s">
        <v>18</v>
      </c>
      <c r="H44" s="24" t="s">
        <v>12</v>
      </c>
      <c r="I44" s="25">
        <f>IFERROR(VLOOKUP(VALUE(B44), 'คำนวณ '!A:U, 21, FALSE), "")</f>
        <v>1</v>
      </c>
      <c r="J44" s="26">
        <f>IFERROR(VLOOKUP(VALUE(B44), 'คำนวณ '!A:V, 22, FALSE), "")</f>
        <v>1</v>
      </c>
      <c r="K44" s="27" t="s">
        <v>19</v>
      </c>
      <c r="U44" s="57"/>
      <c r="X44" s="26"/>
    </row>
    <row r="45" ht="15.0" customHeight="1">
      <c r="A45" s="11">
        <v>112.0</v>
      </c>
      <c r="B45" s="18" t="s">
        <v>136</v>
      </c>
      <c r="C45" s="36" t="s">
        <v>137</v>
      </c>
      <c r="D45" s="39"/>
      <c r="E45" s="40"/>
      <c r="F45" s="58"/>
      <c r="G45" s="23" t="s">
        <v>18</v>
      </c>
      <c r="H45" s="42"/>
      <c r="I45" s="25" t="str">
        <f>IFERROR(VLOOKUP(VALUE(B45), 'คำนวณ '!A:U, 21, FALSE), "")</f>
        <v/>
      </c>
      <c r="J45" s="26" t="str">
        <f>IFERROR(VLOOKUP(VALUE(B45), 'คำนวณ '!A:V, 22, FALSE), "")</f>
        <v/>
      </c>
      <c r="K45" s="27" t="s">
        <v>19</v>
      </c>
      <c r="U45" s="57"/>
      <c r="X45" s="26"/>
    </row>
    <row r="46" ht="15.0" customHeight="1">
      <c r="A46" s="11">
        <v>112.0</v>
      </c>
      <c r="B46" s="18" t="s">
        <v>138</v>
      </c>
      <c r="C46" s="36" t="s">
        <v>139</v>
      </c>
      <c r="D46" s="39"/>
      <c r="E46" s="40"/>
      <c r="F46" s="41"/>
      <c r="G46" s="23" t="s">
        <v>18</v>
      </c>
      <c r="H46" s="42"/>
      <c r="I46" s="25" t="str">
        <f>IFERROR(VLOOKUP(VALUE(B46), 'คำนวณ '!A:U, 21, FALSE), "")</f>
        <v/>
      </c>
      <c r="J46" s="26" t="str">
        <f>IFERROR(VLOOKUP(VALUE(B46), 'คำนวณ '!A:V, 22, FALSE), "")</f>
        <v/>
      </c>
      <c r="K46" s="27" t="s">
        <v>19</v>
      </c>
      <c r="U46" s="57"/>
      <c r="X46" s="26"/>
    </row>
    <row r="47" ht="15.0" customHeight="1">
      <c r="A47" s="11">
        <v>112.0</v>
      </c>
      <c r="B47" s="18" t="s">
        <v>140</v>
      </c>
      <c r="C47" s="36" t="s">
        <v>141</v>
      </c>
      <c r="D47" s="20" t="s">
        <v>90</v>
      </c>
      <c r="E47" s="21">
        <v>4.0</v>
      </c>
      <c r="F47" s="22" t="s">
        <v>38</v>
      </c>
      <c r="G47" s="23" t="s">
        <v>18</v>
      </c>
      <c r="H47" s="24" t="s">
        <v>12</v>
      </c>
      <c r="I47" s="25">
        <f>IFERROR(VLOOKUP(VALUE(B47), 'คำนวณ '!A:U, 21, FALSE), "")</f>
        <v>1</v>
      </c>
      <c r="J47" s="26">
        <f>IFERROR(VLOOKUP(VALUE(B47), 'คำนวณ '!A:V, 22, FALSE), "")</f>
        <v>1</v>
      </c>
      <c r="K47" s="27" t="s">
        <v>19</v>
      </c>
      <c r="U47" s="57"/>
      <c r="X47" s="26"/>
    </row>
    <row r="48" ht="15.0" customHeight="1">
      <c r="A48" s="11">
        <v>112.0</v>
      </c>
      <c r="B48" s="18" t="s">
        <v>142</v>
      </c>
      <c r="C48" s="36" t="s">
        <v>143</v>
      </c>
      <c r="D48" s="20" t="s">
        <v>90</v>
      </c>
      <c r="E48" s="21">
        <v>2.0</v>
      </c>
      <c r="F48" s="22" t="s">
        <v>83</v>
      </c>
      <c r="G48" s="23" t="s">
        <v>18</v>
      </c>
      <c r="H48" s="24" t="s">
        <v>12</v>
      </c>
      <c r="I48" s="25">
        <f>IFERROR(VLOOKUP(VALUE(B48), 'คำนวณ '!A:U, 21, FALSE), "")</f>
        <v>1</v>
      </c>
      <c r="J48" s="26" t="str">
        <f>IFERROR(VLOOKUP(VALUE(B48), 'คำนวณ '!A:V, 22, FALSE), "")</f>
        <v/>
      </c>
      <c r="K48" s="27" t="s">
        <v>19</v>
      </c>
      <c r="U48" s="57"/>
      <c r="X48" s="26"/>
    </row>
    <row r="49" ht="15.0" customHeight="1">
      <c r="A49" s="11">
        <v>112.0</v>
      </c>
      <c r="B49" s="18" t="s">
        <v>144</v>
      </c>
      <c r="C49" s="36" t="s">
        <v>145</v>
      </c>
      <c r="D49" s="20" t="s">
        <v>90</v>
      </c>
      <c r="E49" s="21">
        <v>2.0</v>
      </c>
      <c r="F49" s="22" t="s">
        <v>83</v>
      </c>
      <c r="G49" s="23" t="s">
        <v>18</v>
      </c>
      <c r="H49" s="24" t="s">
        <v>12</v>
      </c>
      <c r="I49" s="25">
        <f>IFERROR(VLOOKUP(VALUE(B49), 'คำนวณ '!A:U, 21, FALSE), "")</f>
        <v>1</v>
      </c>
      <c r="J49" s="26">
        <f>IFERROR(VLOOKUP(VALUE(B49), 'คำนวณ '!A:V, 22, FALSE), "")</f>
        <v>1</v>
      </c>
      <c r="K49" s="27" t="s">
        <v>19</v>
      </c>
      <c r="U49" s="57"/>
      <c r="X49" s="26"/>
    </row>
    <row r="50" ht="15.0" customHeight="1">
      <c r="A50" s="11">
        <v>112.0</v>
      </c>
      <c r="B50" s="18" t="s">
        <v>146</v>
      </c>
      <c r="C50" s="36" t="s">
        <v>147</v>
      </c>
      <c r="D50" s="39"/>
      <c r="E50" s="40"/>
      <c r="F50" s="41"/>
      <c r="G50" s="23" t="s">
        <v>18</v>
      </c>
      <c r="H50" s="42"/>
      <c r="I50" s="25" t="str">
        <f>IFERROR(VLOOKUP(VALUE(B50), 'คำนวณ '!A:U, 21, FALSE), "")</f>
        <v/>
      </c>
      <c r="J50" s="26" t="str">
        <f>IFERROR(VLOOKUP(VALUE(B50), 'คำนวณ '!A:V, 22, FALSE), "")</f>
        <v/>
      </c>
      <c r="K50" s="27" t="s">
        <v>19</v>
      </c>
      <c r="U50" s="57"/>
      <c r="X50" s="26"/>
    </row>
    <row r="51" ht="15.0" customHeight="1">
      <c r="A51" s="11">
        <v>112.0</v>
      </c>
      <c r="B51" s="18" t="s">
        <v>148</v>
      </c>
      <c r="C51" s="36" t="s">
        <v>149</v>
      </c>
      <c r="D51" s="39"/>
      <c r="E51" s="40"/>
      <c r="F51" s="41"/>
      <c r="G51" s="23" t="s">
        <v>18</v>
      </c>
      <c r="H51" s="42"/>
      <c r="I51" s="25" t="str">
        <f>IFERROR(VLOOKUP(VALUE(B51), 'คำนวณ '!A:U, 21, FALSE), "")</f>
        <v/>
      </c>
      <c r="J51" s="26" t="str">
        <f>IFERROR(VLOOKUP(VALUE(B51), 'คำนวณ '!A:V, 22, FALSE), "")</f>
        <v/>
      </c>
      <c r="K51" s="27" t="s">
        <v>19</v>
      </c>
      <c r="U51" s="57"/>
      <c r="X51" s="26"/>
    </row>
    <row r="52" ht="15.0" customHeight="1">
      <c r="A52" s="11">
        <v>112.0</v>
      </c>
      <c r="B52" s="18" t="s">
        <v>150</v>
      </c>
      <c r="C52" s="36" t="s">
        <v>151</v>
      </c>
      <c r="D52" s="39"/>
      <c r="E52" s="40"/>
      <c r="F52" s="41"/>
      <c r="G52" s="23" t="s">
        <v>18</v>
      </c>
      <c r="H52" s="42"/>
      <c r="I52" s="25" t="str">
        <f>IFERROR(VLOOKUP(VALUE(B52), 'คำนวณ '!A:U, 21, FALSE), "")</f>
        <v/>
      </c>
      <c r="J52" s="26" t="str">
        <f>IFERROR(VLOOKUP(VALUE(B52), 'คำนวณ '!A:V, 22, FALSE), "")</f>
        <v/>
      </c>
      <c r="K52" s="27" t="s">
        <v>19</v>
      </c>
      <c r="U52" s="57"/>
      <c r="X52" s="26"/>
    </row>
    <row r="53" ht="15.0" customHeight="1">
      <c r="A53" s="11">
        <v>112.0</v>
      </c>
      <c r="B53" s="18" t="s">
        <v>152</v>
      </c>
      <c r="C53" s="36" t="s">
        <v>153</v>
      </c>
      <c r="D53" s="39"/>
      <c r="E53" s="40"/>
      <c r="F53" s="41"/>
      <c r="G53" s="23" t="s">
        <v>18</v>
      </c>
      <c r="H53" s="42"/>
      <c r="I53" s="25" t="str">
        <f>IFERROR(VLOOKUP(VALUE(B53), 'คำนวณ '!A:U, 21, FALSE), "")</f>
        <v/>
      </c>
      <c r="J53" s="26" t="str">
        <f>IFERROR(VLOOKUP(VALUE(B53), 'คำนวณ '!A:V, 22, FALSE), "")</f>
        <v/>
      </c>
      <c r="K53" s="27" t="s">
        <v>19</v>
      </c>
      <c r="U53" s="57"/>
      <c r="X53" s="26"/>
    </row>
    <row r="54" ht="15.0" customHeight="1">
      <c r="A54" s="11">
        <v>112.0</v>
      </c>
      <c r="B54" s="18" t="s">
        <v>154</v>
      </c>
      <c r="C54" s="36" t="s">
        <v>155</v>
      </c>
      <c r="D54" s="39"/>
      <c r="E54" s="40"/>
      <c r="F54" s="41"/>
      <c r="G54" s="23" t="s">
        <v>18</v>
      </c>
      <c r="H54" s="42"/>
      <c r="I54" s="25" t="str">
        <f>IFERROR(VLOOKUP(VALUE(B54), 'คำนวณ '!A:U, 21, FALSE), "")</f>
        <v/>
      </c>
      <c r="J54" s="26" t="str">
        <f>IFERROR(VLOOKUP(VALUE(B54), 'คำนวณ '!A:V, 22, FALSE), "")</f>
        <v/>
      </c>
      <c r="K54" s="27" t="s">
        <v>19</v>
      </c>
      <c r="U54" s="57"/>
      <c r="X54" s="26"/>
    </row>
    <row r="55" ht="15.0" customHeight="1">
      <c r="A55" s="11">
        <v>112.0</v>
      </c>
      <c r="B55" s="18" t="s">
        <v>156</v>
      </c>
      <c r="C55" s="36" t="s">
        <v>157</v>
      </c>
      <c r="D55" s="20" t="s">
        <v>90</v>
      </c>
      <c r="E55" s="21">
        <v>4.0</v>
      </c>
      <c r="F55" s="22" t="s">
        <v>38</v>
      </c>
      <c r="G55" s="23" t="s">
        <v>18</v>
      </c>
      <c r="H55" s="24" t="s">
        <v>12</v>
      </c>
      <c r="I55" s="25">
        <f>IFERROR(VLOOKUP(VALUE(B55), 'คำนวณ '!A:U, 21, FALSE), "")</f>
        <v>1</v>
      </c>
      <c r="J55" s="26" t="str">
        <f>IFERROR(VLOOKUP(VALUE(B55), 'คำนวณ '!A:V, 22, FALSE), "")</f>
        <v/>
      </c>
      <c r="K55" s="27" t="s">
        <v>19</v>
      </c>
      <c r="U55" s="57"/>
      <c r="X55" s="26"/>
    </row>
    <row r="56" ht="15.0" customHeight="1">
      <c r="A56" s="11">
        <v>112.0</v>
      </c>
      <c r="B56" s="18" t="s">
        <v>158</v>
      </c>
      <c r="C56" s="36" t="s">
        <v>159</v>
      </c>
      <c r="D56" s="20" t="s">
        <v>24</v>
      </c>
      <c r="E56" s="21">
        <v>2.0</v>
      </c>
      <c r="F56" s="22" t="s">
        <v>83</v>
      </c>
      <c r="G56" s="23" t="s">
        <v>18</v>
      </c>
      <c r="H56" s="24" t="s">
        <v>12</v>
      </c>
      <c r="I56" s="25">
        <f>IFERROR(VLOOKUP(VALUE(B56), 'คำนวณ '!A:U, 21, FALSE), "")</f>
        <v>1</v>
      </c>
      <c r="J56" s="26">
        <f>IFERROR(VLOOKUP(VALUE(B56), 'คำนวณ '!A:V, 22, FALSE), "")</f>
        <v>1</v>
      </c>
      <c r="K56" s="27" t="s">
        <v>19</v>
      </c>
      <c r="U56" s="57"/>
      <c r="X56" s="26"/>
    </row>
    <row r="57" ht="15.0" customHeight="1">
      <c r="A57" s="11">
        <v>112.0</v>
      </c>
      <c r="B57" s="18" t="s">
        <v>160</v>
      </c>
      <c r="C57" s="36" t="s">
        <v>161</v>
      </c>
      <c r="D57" s="20" t="s">
        <v>24</v>
      </c>
      <c r="E57" s="21">
        <v>2.0</v>
      </c>
      <c r="F57" s="22" t="s">
        <v>83</v>
      </c>
      <c r="G57" s="23" t="s">
        <v>18</v>
      </c>
      <c r="H57" s="24" t="s">
        <v>12</v>
      </c>
      <c r="I57" s="25">
        <f>IFERROR(VLOOKUP(VALUE(B57), 'คำนวณ '!A:U, 21, FALSE), "")</f>
        <v>1</v>
      </c>
      <c r="J57" s="26">
        <f>IFERROR(VLOOKUP(VALUE(B57), 'คำนวณ '!A:V, 22, FALSE), "")</f>
        <v>1</v>
      </c>
      <c r="K57" s="27" t="s">
        <v>19</v>
      </c>
      <c r="U57" s="57"/>
      <c r="X57" s="26"/>
    </row>
    <row r="58" ht="15.0" customHeight="1">
      <c r="A58" s="11">
        <v>112.0</v>
      </c>
      <c r="B58" s="18" t="s">
        <v>162</v>
      </c>
      <c r="C58" s="36" t="s">
        <v>163</v>
      </c>
      <c r="D58" s="39"/>
      <c r="E58" s="40"/>
      <c r="F58" s="41"/>
      <c r="G58" s="23" t="s">
        <v>18</v>
      </c>
      <c r="H58" s="42"/>
      <c r="I58" s="25" t="str">
        <f>IFERROR(VLOOKUP(VALUE(B58), 'คำนวณ '!A:U, 21, FALSE), "")</f>
        <v/>
      </c>
      <c r="J58" s="26" t="str">
        <f>IFERROR(VLOOKUP(VALUE(B58), 'คำนวณ '!A:V, 22, FALSE), "")</f>
        <v/>
      </c>
      <c r="K58" s="27" t="s">
        <v>19</v>
      </c>
      <c r="U58" s="57"/>
      <c r="X58" s="26"/>
    </row>
    <row r="59" ht="15.0" customHeight="1">
      <c r="A59" s="11">
        <v>112.0</v>
      </c>
      <c r="B59" s="18" t="s">
        <v>164</v>
      </c>
      <c r="C59" s="36" t="s">
        <v>165</v>
      </c>
      <c r="D59" s="20" t="s">
        <v>24</v>
      </c>
      <c r="E59" s="21">
        <v>4.0</v>
      </c>
      <c r="F59" s="22" t="s">
        <v>166</v>
      </c>
      <c r="G59" s="23" t="s">
        <v>18</v>
      </c>
      <c r="H59" s="24" t="s">
        <v>12</v>
      </c>
      <c r="I59" s="25">
        <f>IFERROR(VLOOKUP(VALUE(B59), 'คำนวณ '!A:U, 21, FALSE), "")</f>
        <v>1</v>
      </c>
      <c r="J59" s="26">
        <f>IFERROR(VLOOKUP(VALUE(B59), 'คำนวณ '!A:V, 22, FALSE), "")</f>
        <v>1</v>
      </c>
      <c r="K59" s="27" t="s">
        <v>19</v>
      </c>
      <c r="U59" s="57"/>
      <c r="X59" s="26"/>
    </row>
    <row r="60" ht="15.0" customHeight="1">
      <c r="A60" s="11">
        <v>112.0</v>
      </c>
      <c r="B60" s="18" t="s">
        <v>167</v>
      </c>
      <c r="C60" s="36" t="s">
        <v>168</v>
      </c>
      <c r="D60" s="20" t="s">
        <v>24</v>
      </c>
      <c r="E60" s="21">
        <v>2.0</v>
      </c>
      <c r="F60" s="22" t="s">
        <v>83</v>
      </c>
      <c r="G60" s="23" t="s">
        <v>18</v>
      </c>
      <c r="H60" s="24" t="s">
        <v>12</v>
      </c>
      <c r="I60" s="25">
        <f>IFERROR(VLOOKUP(VALUE(B60), 'คำนวณ '!A:U, 21, FALSE), "")</f>
        <v>1</v>
      </c>
      <c r="J60" s="26">
        <f>IFERROR(VLOOKUP(VALUE(B60), 'คำนวณ '!A:V, 22, FALSE), "")</f>
        <v>1</v>
      </c>
      <c r="K60" s="27" t="s">
        <v>19</v>
      </c>
      <c r="U60" s="57"/>
      <c r="X60" s="26"/>
    </row>
    <row r="61" ht="15.0" customHeight="1">
      <c r="A61" s="11">
        <v>112.0</v>
      </c>
      <c r="B61" s="18" t="s">
        <v>169</v>
      </c>
      <c r="C61" s="36" t="s">
        <v>170</v>
      </c>
      <c r="D61" s="20" t="s">
        <v>24</v>
      </c>
      <c r="E61" s="21">
        <v>2.0</v>
      </c>
      <c r="F61" s="22" t="s">
        <v>83</v>
      </c>
      <c r="G61" s="23" t="s">
        <v>18</v>
      </c>
      <c r="H61" s="24" t="s">
        <v>12</v>
      </c>
      <c r="I61" s="25">
        <f>IFERROR(VLOOKUP(VALUE(B61), 'คำนวณ '!A:U, 21, FALSE), "")</f>
        <v>1</v>
      </c>
      <c r="J61" s="26">
        <f>IFERROR(VLOOKUP(VALUE(B61), 'คำนวณ '!A:V, 22, FALSE), "")</f>
        <v>1</v>
      </c>
      <c r="K61" s="27" t="s">
        <v>19</v>
      </c>
      <c r="U61" s="57"/>
      <c r="X61" s="26"/>
    </row>
    <row r="62" ht="15.0" customHeight="1">
      <c r="A62" s="11">
        <v>112.0</v>
      </c>
      <c r="B62" s="18" t="s">
        <v>171</v>
      </c>
      <c r="C62" s="36" t="s">
        <v>172</v>
      </c>
      <c r="D62" s="20" t="s">
        <v>24</v>
      </c>
      <c r="E62" s="21">
        <v>2.0</v>
      </c>
      <c r="F62" s="22" t="s">
        <v>173</v>
      </c>
      <c r="G62" s="23" t="s">
        <v>18</v>
      </c>
      <c r="H62" s="24" t="s">
        <v>12</v>
      </c>
      <c r="I62" s="25">
        <f>IFERROR(VLOOKUP(VALUE(B62), 'คำนวณ '!A:U, 21, FALSE), "")</f>
        <v>1</v>
      </c>
      <c r="J62" s="26">
        <f>IFERROR(VLOOKUP(VALUE(B62), 'คำนวณ '!A:V, 22, FALSE), "")</f>
        <v>1</v>
      </c>
      <c r="K62" s="27" t="s">
        <v>19</v>
      </c>
      <c r="U62" s="57"/>
      <c r="X62" s="26"/>
    </row>
    <row r="63" ht="15.0" customHeight="1">
      <c r="A63" s="11">
        <v>112.0</v>
      </c>
      <c r="B63" s="18" t="s">
        <v>174</v>
      </c>
      <c r="C63" s="36" t="s">
        <v>175</v>
      </c>
      <c r="D63" s="39"/>
      <c r="E63" s="40"/>
      <c r="F63" s="41"/>
      <c r="G63" s="23" t="s">
        <v>18</v>
      </c>
      <c r="H63" s="42"/>
      <c r="I63" s="25" t="str">
        <f>IFERROR(VLOOKUP(VALUE(B63), 'คำนวณ '!A:U, 21, FALSE), "")</f>
        <v/>
      </c>
      <c r="J63" s="26" t="str">
        <f>IFERROR(VLOOKUP(VALUE(B63), 'คำนวณ '!A:V, 22, FALSE), "")</f>
        <v/>
      </c>
      <c r="K63" s="27" t="s">
        <v>19</v>
      </c>
      <c r="U63" s="57"/>
      <c r="X63" s="26"/>
    </row>
    <row r="64" ht="15.0" customHeight="1">
      <c r="A64" s="11">
        <v>112.0</v>
      </c>
      <c r="B64" s="18" t="s">
        <v>176</v>
      </c>
      <c r="C64" s="36" t="s">
        <v>177</v>
      </c>
      <c r="D64" s="20" t="s">
        <v>24</v>
      </c>
      <c r="E64" s="21">
        <v>2.0</v>
      </c>
      <c r="F64" s="22" t="s">
        <v>83</v>
      </c>
      <c r="G64" s="23" t="s">
        <v>18</v>
      </c>
      <c r="H64" s="24" t="s">
        <v>12</v>
      </c>
      <c r="I64" s="25">
        <f>IFERROR(VLOOKUP(VALUE(B64), 'คำนวณ '!A:U, 21, FALSE), "")</f>
        <v>1</v>
      </c>
      <c r="J64" s="26">
        <f>IFERROR(VLOOKUP(VALUE(B64), 'คำนวณ '!A:V, 22, FALSE), "")</f>
        <v>1</v>
      </c>
      <c r="K64" s="27" t="s">
        <v>19</v>
      </c>
      <c r="U64" s="57"/>
      <c r="X64" s="26"/>
    </row>
    <row r="65" ht="15.0" customHeight="1">
      <c r="A65" s="11">
        <v>112.0</v>
      </c>
      <c r="B65" s="18" t="s">
        <v>178</v>
      </c>
      <c r="C65" s="36" t="s">
        <v>179</v>
      </c>
      <c r="D65" s="20" t="s">
        <v>24</v>
      </c>
      <c r="E65" s="21">
        <v>2.0</v>
      </c>
      <c r="F65" s="22" t="s">
        <v>83</v>
      </c>
      <c r="G65" s="23" t="s">
        <v>18</v>
      </c>
      <c r="H65" s="24" t="s">
        <v>12</v>
      </c>
      <c r="I65" s="25">
        <f>IFERROR(VLOOKUP(VALUE(B65), 'คำนวณ '!A:U, 21, FALSE), "")</f>
        <v>1</v>
      </c>
      <c r="J65" s="26">
        <f>IFERROR(VLOOKUP(VALUE(B65), 'คำนวณ '!A:V, 22, FALSE), "")</f>
        <v>1</v>
      </c>
      <c r="K65" s="27" t="s">
        <v>19</v>
      </c>
      <c r="U65" s="57"/>
      <c r="X65" s="26"/>
    </row>
    <row r="66" ht="15.0" customHeight="1">
      <c r="A66" s="11">
        <v>112.0</v>
      </c>
      <c r="B66" s="18" t="s">
        <v>180</v>
      </c>
      <c r="C66" s="36" t="s">
        <v>181</v>
      </c>
      <c r="D66" s="20" t="s">
        <v>28</v>
      </c>
      <c r="E66" s="21">
        <v>4.0</v>
      </c>
      <c r="F66" s="22" t="s">
        <v>38</v>
      </c>
      <c r="G66" s="23" t="s">
        <v>18</v>
      </c>
      <c r="H66" s="24" t="s">
        <v>12</v>
      </c>
      <c r="I66" s="25">
        <f>IFERROR(VLOOKUP(VALUE(B66), 'คำนวณ '!A:U, 21, FALSE), "")</f>
        <v>1</v>
      </c>
      <c r="J66" s="26">
        <f>IFERROR(VLOOKUP(VALUE(B66), 'คำนวณ '!A:V, 22, FALSE), "")</f>
        <v>1</v>
      </c>
      <c r="K66" s="27" t="s">
        <v>19</v>
      </c>
      <c r="U66" s="57"/>
      <c r="X66" s="26"/>
    </row>
    <row r="67" ht="15.0" customHeight="1">
      <c r="A67" s="11">
        <v>112.0</v>
      </c>
      <c r="B67" s="18" t="s">
        <v>182</v>
      </c>
      <c r="C67" s="36" t="s">
        <v>183</v>
      </c>
      <c r="D67" s="20" t="s">
        <v>28</v>
      </c>
      <c r="E67" s="21">
        <v>2.0</v>
      </c>
      <c r="F67" s="22" t="s">
        <v>83</v>
      </c>
      <c r="G67" s="23" t="s">
        <v>18</v>
      </c>
      <c r="H67" s="24" t="s">
        <v>12</v>
      </c>
      <c r="I67" s="25">
        <f>IFERROR(VLOOKUP(VALUE(B67), 'คำนวณ '!A:U, 21, FALSE), "")</f>
        <v>1</v>
      </c>
      <c r="J67" s="26">
        <f>IFERROR(VLOOKUP(VALUE(B67), 'คำนวณ '!A:V, 22, FALSE), "")</f>
        <v>1</v>
      </c>
      <c r="K67" s="27" t="s">
        <v>19</v>
      </c>
      <c r="U67" s="57"/>
      <c r="X67" s="26"/>
    </row>
    <row r="68" ht="15.0" customHeight="1">
      <c r="A68" s="11">
        <v>112.0</v>
      </c>
      <c r="B68" s="18" t="s">
        <v>184</v>
      </c>
      <c r="C68" s="36" t="s">
        <v>185</v>
      </c>
      <c r="D68" s="20" t="s">
        <v>28</v>
      </c>
      <c r="E68" s="21">
        <v>2.0</v>
      </c>
      <c r="F68" s="22" t="s">
        <v>83</v>
      </c>
      <c r="G68" s="23" t="s">
        <v>18</v>
      </c>
      <c r="H68" s="24" t="s">
        <v>12</v>
      </c>
      <c r="I68" s="25">
        <f>IFERROR(VLOOKUP(VALUE(B68), 'คำนวณ '!A:U, 21, FALSE), "")</f>
        <v>1</v>
      </c>
      <c r="J68" s="26">
        <f>IFERROR(VLOOKUP(VALUE(B68), 'คำนวณ '!A:V, 22, FALSE), "")</f>
        <v>1</v>
      </c>
      <c r="K68" s="27" t="s">
        <v>19</v>
      </c>
      <c r="U68" s="57"/>
      <c r="X68" s="26"/>
    </row>
    <row r="69" ht="15.0" customHeight="1">
      <c r="A69" s="11">
        <v>112.0</v>
      </c>
      <c r="B69" s="18" t="s">
        <v>186</v>
      </c>
      <c r="C69" s="36" t="s">
        <v>187</v>
      </c>
      <c r="D69" s="20" t="s">
        <v>28</v>
      </c>
      <c r="E69" s="21">
        <v>2.0</v>
      </c>
      <c r="F69" s="22" t="s">
        <v>83</v>
      </c>
      <c r="G69" s="23" t="s">
        <v>18</v>
      </c>
      <c r="H69" s="24" t="s">
        <v>12</v>
      </c>
      <c r="I69" s="25">
        <f>IFERROR(VLOOKUP(VALUE(B69), 'คำนวณ '!A:U, 21, FALSE), "")</f>
        <v>1</v>
      </c>
      <c r="J69" s="26">
        <f>IFERROR(VLOOKUP(VALUE(B69), 'คำนวณ '!A:V, 22, FALSE), "")</f>
        <v>1</v>
      </c>
      <c r="K69" s="27" t="s">
        <v>19</v>
      </c>
      <c r="U69" s="57"/>
      <c r="X69" s="26"/>
    </row>
    <row r="70" ht="15.0" customHeight="1">
      <c r="A70" s="11">
        <v>112.0</v>
      </c>
      <c r="B70" s="18" t="s">
        <v>188</v>
      </c>
      <c r="C70" s="36" t="s">
        <v>189</v>
      </c>
      <c r="D70" s="39"/>
      <c r="E70" s="40"/>
      <c r="F70" s="41"/>
      <c r="G70" s="23" t="s">
        <v>18</v>
      </c>
      <c r="H70" s="42"/>
      <c r="I70" s="25" t="str">
        <f>IFERROR(VLOOKUP(VALUE(B70), 'คำนวณ '!A:U, 21, FALSE), "")</f>
        <v/>
      </c>
      <c r="J70" s="26" t="str">
        <f>IFERROR(VLOOKUP(VALUE(B70), 'คำนวณ '!A:V, 22, FALSE), "")</f>
        <v/>
      </c>
      <c r="K70" s="27" t="s">
        <v>19</v>
      </c>
      <c r="U70" s="57"/>
      <c r="X70" s="26"/>
    </row>
    <row r="71" ht="15.0" customHeight="1">
      <c r="A71" s="11">
        <v>112.0</v>
      </c>
      <c r="B71" s="18" t="s">
        <v>190</v>
      </c>
      <c r="C71" s="36" t="s">
        <v>191</v>
      </c>
      <c r="D71" s="20" t="s">
        <v>28</v>
      </c>
      <c r="E71" s="21">
        <v>2.0</v>
      </c>
      <c r="F71" s="22" t="s">
        <v>83</v>
      </c>
      <c r="G71" s="23" t="s">
        <v>18</v>
      </c>
      <c r="H71" s="24" t="s">
        <v>12</v>
      </c>
      <c r="I71" s="25">
        <f>IFERROR(VLOOKUP(VALUE(B71), 'คำนวณ '!A:U, 21, FALSE), "")</f>
        <v>1</v>
      </c>
      <c r="J71" s="26">
        <f>IFERROR(VLOOKUP(VALUE(B71), 'คำนวณ '!A:V, 22, FALSE), "")</f>
        <v>1</v>
      </c>
      <c r="K71" s="27" t="s">
        <v>19</v>
      </c>
      <c r="U71" s="57"/>
      <c r="X71" s="26"/>
    </row>
    <row r="72" ht="15.0" customHeight="1">
      <c r="A72" s="11">
        <v>112.0</v>
      </c>
      <c r="B72" s="18" t="s">
        <v>192</v>
      </c>
      <c r="C72" s="36" t="s">
        <v>193</v>
      </c>
      <c r="D72" s="20" t="s">
        <v>28</v>
      </c>
      <c r="E72" s="21">
        <v>2.0</v>
      </c>
      <c r="F72" s="22" t="s">
        <v>83</v>
      </c>
      <c r="G72" s="23" t="s">
        <v>18</v>
      </c>
      <c r="H72" s="24" t="s">
        <v>12</v>
      </c>
      <c r="I72" s="25">
        <f>IFERROR(VLOOKUP(VALUE(B72), 'คำนวณ '!A:U, 21, FALSE), "")</f>
        <v>1</v>
      </c>
      <c r="J72" s="26" t="str">
        <f>IFERROR(VLOOKUP(VALUE(B72), 'คำนวณ '!A:V, 22, FALSE), "")</f>
        <v/>
      </c>
      <c r="K72" s="27" t="s">
        <v>19</v>
      </c>
      <c r="U72" s="57"/>
      <c r="X72" s="26"/>
    </row>
    <row r="73" ht="15.0" customHeight="1">
      <c r="A73" s="11">
        <v>112.0</v>
      </c>
      <c r="B73" s="18" t="s">
        <v>194</v>
      </c>
      <c r="C73" s="36" t="s">
        <v>195</v>
      </c>
      <c r="D73" s="20" t="s">
        <v>28</v>
      </c>
      <c r="E73" s="21">
        <v>2.0</v>
      </c>
      <c r="F73" s="22" t="s">
        <v>83</v>
      </c>
      <c r="G73" s="23" t="s">
        <v>18</v>
      </c>
      <c r="H73" s="24" t="s">
        <v>12</v>
      </c>
      <c r="I73" s="25">
        <f>IFERROR(VLOOKUP(VALUE(B73), 'คำนวณ '!A:U, 21, FALSE), "")</f>
        <v>1</v>
      </c>
      <c r="J73" s="26">
        <f>IFERROR(VLOOKUP(VALUE(B73), 'คำนวณ '!A:V, 22, FALSE), "")</f>
        <v>1</v>
      </c>
      <c r="K73" s="27" t="s">
        <v>19</v>
      </c>
      <c r="U73" s="57"/>
      <c r="X73" s="26"/>
    </row>
    <row r="74" ht="15.0" customHeight="1">
      <c r="A74" s="11">
        <v>112.0</v>
      </c>
      <c r="B74" s="18" t="s">
        <v>196</v>
      </c>
      <c r="C74" s="36" t="s">
        <v>197</v>
      </c>
      <c r="D74" s="20" t="s">
        <v>28</v>
      </c>
      <c r="E74" s="21">
        <v>4.0</v>
      </c>
      <c r="F74" s="22" t="s">
        <v>38</v>
      </c>
      <c r="G74" s="23" t="s">
        <v>18</v>
      </c>
      <c r="H74" s="24" t="s">
        <v>12</v>
      </c>
      <c r="I74" s="25">
        <f>IFERROR(VLOOKUP(VALUE(B74), 'คำนวณ '!A:U, 21, FALSE), "")</f>
        <v>1</v>
      </c>
      <c r="J74" s="26">
        <f>IFERROR(VLOOKUP(VALUE(B74), 'คำนวณ '!A:V, 22, FALSE), "")</f>
        <v>1</v>
      </c>
      <c r="K74" s="27" t="s">
        <v>19</v>
      </c>
      <c r="U74" s="57"/>
      <c r="X74" s="26"/>
    </row>
    <row r="75" ht="15.0" customHeight="1">
      <c r="A75" s="11">
        <v>112.0</v>
      </c>
      <c r="B75" s="18" t="s">
        <v>198</v>
      </c>
      <c r="C75" s="36" t="s">
        <v>199</v>
      </c>
      <c r="D75" s="39"/>
      <c r="E75" s="40"/>
      <c r="F75" s="41"/>
      <c r="G75" s="23" t="s">
        <v>18</v>
      </c>
      <c r="H75" s="42"/>
      <c r="I75" s="25" t="str">
        <f>IFERROR(VLOOKUP(VALUE(B75), 'คำนวณ '!A:U, 21, FALSE), "")</f>
        <v/>
      </c>
      <c r="J75" s="26" t="str">
        <f>IFERROR(VLOOKUP(VALUE(B75), 'คำนวณ '!A:V, 22, FALSE), "")</f>
        <v/>
      </c>
      <c r="K75" s="27" t="s">
        <v>19</v>
      </c>
      <c r="U75" s="57"/>
      <c r="X75" s="26"/>
    </row>
    <row r="76" ht="15.0" customHeight="1">
      <c r="A76" s="11">
        <v>112.0</v>
      </c>
      <c r="B76" s="18" t="s">
        <v>200</v>
      </c>
      <c r="C76" s="36" t="s">
        <v>201</v>
      </c>
      <c r="D76" s="20" t="s">
        <v>28</v>
      </c>
      <c r="E76" s="21">
        <v>2.0</v>
      </c>
      <c r="F76" s="22" t="s">
        <v>83</v>
      </c>
      <c r="G76" s="23" t="s">
        <v>18</v>
      </c>
      <c r="H76" s="24" t="s">
        <v>12</v>
      </c>
      <c r="I76" s="25">
        <f>IFERROR(VLOOKUP(VALUE(B76), 'คำนวณ '!A:U, 21, FALSE), "")</f>
        <v>1</v>
      </c>
      <c r="J76" s="26">
        <f>IFERROR(VLOOKUP(VALUE(B76), 'คำนวณ '!A:V, 22, FALSE), "")</f>
        <v>1</v>
      </c>
      <c r="K76" s="27" t="s">
        <v>19</v>
      </c>
      <c r="U76" s="57"/>
      <c r="X76" s="26"/>
    </row>
    <row r="77" ht="15.0" customHeight="1">
      <c r="A77" s="11">
        <v>112.0</v>
      </c>
      <c r="B77" s="18" t="s">
        <v>202</v>
      </c>
      <c r="C77" s="36" t="s">
        <v>203</v>
      </c>
      <c r="D77" s="20" t="s">
        <v>28</v>
      </c>
      <c r="E77" s="21">
        <v>2.0</v>
      </c>
      <c r="F77" s="22" t="s">
        <v>83</v>
      </c>
      <c r="G77" s="23" t="s">
        <v>18</v>
      </c>
      <c r="H77" s="24" t="s">
        <v>12</v>
      </c>
      <c r="I77" s="25">
        <f>IFERROR(VLOOKUP(VALUE(B77), 'คำนวณ '!A:U, 21, FALSE), "")</f>
        <v>1</v>
      </c>
      <c r="J77" s="26">
        <f>IFERROR(VLOOKUP(VALUE(B77), 'คำนวณ '!A:V, 22, FALSE), "")</f>
        <v>1</v>
      </c>
      <c r="K77" s="27" t="s">
        <v>19</v>
      </c>
      <c r="U77" s="57"/>
      <c r="X77" s="26"/>
    </row>
    <row r="78" ht="15.0" customHeight="1">
      <c r="A78" s="11">
        <v>112.0</v>
      </c>
      <c r="B78" s="18" t="s">
        <v>204</v>
      </c>
      <c r="C78" s="36" t="s">
        <v>205</v>
      </c>
      <c r="D78" s="20" t="s">
        <v>90</v>
      </c>
      <c r="E78" s="21">
        <v>4.0</v>
      </c>
      <c r="F78" s="22" t="s">
        <v>38</v>
      </c>
      <c r="G78" s="23" t="s">
        <v>18</v>
      </c>
      <c r="H78" s="24" t="s">
        <v>12</v>
      </c>
      <c r="I78" s="25">
        <f>IFERROR(VLOOKUP(VALUE(B78), 'คำนวณ '!A:U, 21, FALSE), "")</f>
        <v>1</v>
      </c>
      <c r="J78" s="26">
        <f>IFERROR(VLOOKUP(VALUE(B78), 'คำนวณ '!A:V, 22, FALSE), "")</f>
        <v>1</v>
      </c>
      <c r="K78" s="27" t="s">
        <v>19</v>
      </c>
      <c r="U78" s="57"/>
      <c r="X78" s="26"/>
    </row>
    <row r="79" ht="15.0" customHeight="1">
      <c r="A79" s="11">
        <v>113.0</v>
      </c>
      <c r="B79" s="18" t="s">
        <v>206</v>
      </c>
      <c r="C79" s="36" t="s">
        <v>207</v>
      </c>
      <c r="D79" s="20" t="s">
        <v>56</v>
      </c>
      <c r="E79" s="21">
        <v>2.0</v>
      </c>
      <c r="F79" s="22" t="s">
        <v>83</v>
      </c>
      <c r="G79" s="23" t="s">
        <v>18</v>
      </c>
      <c r="H79" s="24" t="s">
        <v>12</v>
      </c>
      <c r="I79" s="25">
        <f>IFERROR(VLOOKUP(VALUE(B79), 'คำนวณ '!A:U, 21, FALSE), "")</f>
        <v>1</v>
      </c>
      <c r="J79" s="26">
        <f>IFERROR(VLOOKUP(VALUE(B79), 'คำนวณ '!A:V, 22, FALSE), "")</f>
        <v>1</v>
      </c>
      <c r="K79" s="27" t="s">
        <v>19</v>
      </c>
      <c r="U79" s="57"/>
      <c r="X79" s="26"/>
    </row>
    <row r="80" ht="15.0" customHeight="1">
      <c r="A80" s="11">
        <v>113.0</v>
      </c>
      <c r="B80" s="18" t="s">
        <v>208</v>
      </c>
      <c r="C80" s="36" t="s">
        <v>209</v>
      </c>
      <c r="D80" s="20" t="s">
        <v>56</v>
      </c>
      <c r="E80" s="21">
        <v>2.0</v>
      </c>
      <c r="F80" s="22" t="s">
        <v>83</v>
      </c>
      <c r="G80" s="23" t="s">
        <v>18</v>
      </c>
      <c r="H80" s="24" t="s">
        <v>12</v>
      </c>
      <c r="I80" s="25">
        <f>IFERROR(VLOOKUP(VALUE(B80), 'คำนวณ '!A:U, 21, FALSE), "")</f>
        <v>1</v>
      </c>
      <c r="J80" s="26">
        <f>IFERROR(VLOOKUP(VALUE(B80), 'คำนวณ '!A:V, 22, FALSE), "")</f>
        <v>1</v>
      </c>
      <c r="K80" s="27" t="s">
        <v>19</v>
      </c>
      <c r="U80" s="57"/>
      <c r="X80" s="26"/>
    </row>
    <row r="81" ht="15.0" customHeight="1">
      <c r="A81" s="11">
        <v>113.0</v>
      </c>
      <c r="B81" s="18" t="s">
        <v>210</v>
      </c>
      <c r="C81" s="36" t="s">
        <v>211</v>
      </c>
      <c r="D81" s="39"/>
      <c r="E81" s="40"/>
      <c r="F81" s="41"/>
      <c r="G81" s="23" t="s">
        <v>18</v>
      </c>
      <c r="H81" s="42"/>
      <c r="I81" s="25" t="str">
        <f>IFERROR(VLOOKUP(VALUE(B81), 'คำนวณ '!A:U, 21, FALSE), "")</f>
        <v/>
      </c>
      <c r="J81" s="26" t="str">
        <f>IFERROR(VLOOKUP(VALUE(B81), 'คำนวณ '!A:V, 22, FALSE), "")</f>
        <v/>
      </c>
      <c r="K81" s="27" t="s">
        <v>19</v>
      </c>
      <c r="U81" s="57"/>
      <c r="X81" s="26"/>
    </row>
    <row r="82" ht="15.0" customHeight="1">
      <c r="A82" s="11">
        <v>113.0</v>
      </c>
      <c r="B82" s="18" t="s">
        <v>212</v>
      </c>
      <c r="C82" s="36" t="s">
        <v>213</v>
      </c>
      <c r="D82" s="20" t="s">
        <v>32</v>
      </c>
      <c r="E82" s="21">
        <v>4.0</v>
      </c>
      <c r="F82" s="22" t="s">
        <v>38</v>
      </c>
      <c r="G82" s="23" t="s">
        <v>20</v>
      </c>
      <c r="H82" s="24" t="s">
        <v>11</v>
      </c>
      <c r="I82" s="25">
        <f>IFERROR(VLOOKUP(VALUE(B82), 'คำนวณ '!A:U, 21, FALSE), "")</f>
        <v>1</v>
      </c>
      <c r="J82" s="26">
        <f>IFERROR(VLOOKUP(VALUE(B82), 'คำนวณ '!A:V, 22, FALSE), "")</f>
        <v>1</v>
      </c>
      <c r="K82" s="47" t="s">
        <v>10</v>
      </c>
      <c r="U82" s="57"/>
      <c r="X82" s="26"/>
    </row>
    <row r="83" ht="15.0" customHeight="1">
      <c r="A83" s="11">
        <v>113.0</v>
      </c>
      <c r="B83" s="18" t="s">
        <v>214</v>
      </c>
      <c r="C83" s="36" t="s">
        <v>215</v>
      </c>
      <c r="D83" s="20" t="s">
        <v>32</v>
      </c>
      <c r="E83" s="21">
        <v>4.0</v>
      </c>
      <c r="F83" s="22" t="s">
        <v>38</v>
      </c>
      <c r="G83" s="23" t="s">
        <v>20</v>
      </c>
      <c r="H83" s="24" t="s">
        <v>11</v>
      </c>
      <c r="I83" s="25">
        <f>IFERROR(VLOOKUP(VALUE(B83), 'คำนวณ '!A:U, 21, FALSE), "")</f>
        <v>1</v>
      </c>
      <c r="J83" s="26" t="str">
        <f>IFERROR(VLOOKUP(VALUE(B83), 'คำนวณ '!A:V, 22, FALSE), "")</f>
        <v/>
      </c>
      <c r="K83" s="47" t="s">
        <v>10</v>
      </c>
      <c r="U83" s="57"/>
      <c r="X83" s="26"/>
    </row>
    <row r="84" ht="15.0" customHeight="1">
      <c r="A84" s="11">
        <v>113.0</v>
      </c>
      <c r="B84" s="18" t="s">
        <v>216</v>
      </c>
      <c r="C84" s="36" t="s">
        <v>217</v>
      </c>
      <c r="D84" s="20" t="s">
        <v>32</v>
      </c>
      <c r="E84" s="21">
        <v>4.0</v>
      </c>
      <c r="F84" s="22" t="s">
        <v>38</v>
      </c>
      <c r="G84" s="23" t="s">
        <v>20</v>
      </c>
      <c r="H84" s="24" t="s">
        <v>11</v>
      </c>
      <c r="I84" s="25">
        <f>IFERROR(VLOOKUP(VALUE(B84), 'คำนวณ '!A:U, 21, FALSE), "")</f>
        <v>1</v>
      </c>
      <c r="J84" s="26">
        <f>IFERROR(VLOOKUP(VALUE(B84), 'คำนวณ '!A:V, 22, FALSE), "")</f>
        <v>1</v>
      </c>
      <c r="K84" s="47" t="s">
        <v>10</v>
      </c>
      <c r="U84" s="57"/>
      <c r="X84" s="26"/>
    </row>
    <row r="85" ht="15.0" customHeight="1">
      <c r="A85" s="11">
        <v>113.0</v>
      </c>
      <c r="B85" s="18" t="s">
        <v>218</v>
      </c>
      <c r="C85" s="36" t="s">
        <v>219</v>
      </c>
      <c r="D85" s="20" t="s">
        <v>32</v>
      </c>
      <c r="E85" s="21">
        <v>4.0</v>
      </c>
      <c r="F85" s="22" t="s">
        <v>38</v>
      </c>
      <c r="G85" s="23" t="s">
        <v>20</v>
      </c>
      <c r="H85" s="24" t="s">
        <v>11</v>
      </c>
      <c r="I85" s="25">
        <f>IFERROR(VLOOKUP(VALUE(B85), 'คำนวณ '!A:U, 21, FALSE), "")</f>
        <v>1</v>
      </c>
      <c r="J85" s="26">
        <f>IFERROR(VLOOKUP(VALUE(B85), 'คำนวณ '!A:V, 22, FALSE), "")</f>
        <v>1</v>
      </c>
      <c r="K85" s="47" t="s">
        <v>10</v>
      </c>
      <c r="U85" s="26"/>
      <c r="X85" s="26"/>
    </row>
    <row r="86" ht="15.0" customHeight="1">
      <c r="A86" s="11">
        <v>113.0</v>
      </c>
      <c r="B86" s="18" t="s">
        <v>220</v>
      </c>
      <c r="C86" s="36" t="s">
        <v>221</v>
      </c>
      <c r="D86" s="20" t="s">
        <v>32</v>
      </c>
      <c r="E86" s="21">
        <v>4.0</v>
      </c>
      <c r="F86" s="22" t="s">
        <v>38</v>
      </c>
      <c r="G86" s="23" t="s">
        <v>20</v>
      </c>
      <c r="H86" s="24" t="s">
        <v>11</v>
      </c>
      <c r="I86" s="25" t="str">
        <f>IFERROR(VLOOKUP(VALUE(B86), 'คำนวณ '!A:U, 21, FALSE), "")</f>
        <v/>
      </c>
      <c r="J86" s="26" t="str">
        <f>IFERROR(VLOOKUP(VALUE(B86), 'คำนวณ '!A:V, 22, FALSE), "")</f>
        <v/>
      </c>
      <c r="K86" s="47" t="s">
        <v>10</v>
      </c>
      <c r="U86" s="26"/>
      <c r="X86" s="26"/>
    </row>
    <row r="87" ht="15.0" customHeight="1">
      <c r="A87" s="11">
        <v>113.0</v>
      </c>
      <c r="B87" s="18" t="s">
        <v>222</v>
      </c>
      <c r="C87" s="36" t="s">
        <v>223</v>
      </c>
      <c r="D87" s="20" t="s">
        <v>32</v>
      </c>
      <c r="E87" s="21">
        <v>4.0</v>
      </c>
      <c r="F87" s="22" t="s">
        <v>38</v>
      </c>
      <c r="G87" s="23" t="s">
        <v>20</v>
      </c>
      <c r="H87" s="24" t="s">
        <v>11</v>
      </c>
      <c r="I87" s="25">
        <f>IFERROR(VLOOKUP(VALUE(B87), 'คำนวณ '!A:U, 21, FALSE), "")</f>
        <v>1</v>
      </c>
      <c r="J87" s="26">
        <f>IFERROR(VLOOKUP(VALUE(B87), 'คำนวณ '!A:V, 22, FALSE), "")</f>
        <v>1</v>
      </c>
      <c r="K87" s="47" t="s">
        <v>10</v>
      </c>
      <c r="U87" s="26"/>
      <c r="X87" s="26"/>
    </row>
    <row r="88" ht="15.0" customHeight="1">
      <c r="A88" s="11">
        <v>113.0</v>
      </c>
      <c r="B88" s="18" t="s">
        <v>224</v>
      </c>
      <c r="C88" s="36" t="s">
        <v>225</v>
      </c>
      <c r="D88" s="39"/>
      <c r="E88" s="40"/>
      <c r="F88" s="41"/>
      <c r="G88" s="23" t="s">
        <v>20</v>
      </c>
      <c r="H88" s="42"/>
      <c r="I88" s="25" t="str">
        <f>IFERROR(VLOOKUP(VALUE(B88), 'คำนวณ '!A:U, 21, FALSE), "")</f>
        <v/>
      </c>
      <c r="J88" s="26" t="str">
        <f>IFERROR(VLOOKUP(VALUE(B88), 'คำนวณ '!A:V, 22, FALSE), "")</f>
        <v/>
      </c>
      <c r="K88" s="27" t="s">
        <v>19</v>
      </c>
      <c r="U88" s="26"/>
      <c r="X88" s="26"/>
    </row>
    <row r="89" ht="15.0" customHeight="1">
      <c r="A89" s="11">
        <v>113.0</v>
      </c>
      <c r="B89" s="18" t="s">
        <v>226</v>
      </c>
      <c r="C89" s="36" t="s">
        <v>227</v>
      </c>
      <c r="D89" s="39"/>
      <c r="E89" s="40"/>
      <c r="F89" s="41"/>
      <c r="G89" s="23" t="s">
        <v>20</v>
      </c>
      <c r="H89" s="42"/>
      <c r="I89" s="25" t="str">
        <f>IFERROR(VLOOKUP(VALUE(B89), 'คำนวณ '!A:U, 21, FALSE), "")</f>
        <v/>
      </c>
      <c r="J89" s="26" t="str">
        <f>IFERROR(VLOOKUP(VALUE(B89), 'คำนวณ '!A:V, 22, FALSE), "")</f>
        <v/>
      </c>
      <c r="K89" s="27" t="s">
        <v>19</v>
      </c>
      <c r="U89" s="26"/>
      <c r="X89" s="26"/>
    </row>
    <row r="90" ht="15.0" customHeight="1">
      <c r="A90" s="11">
        <v>114.0</v>
      </c>
      <c r="B90" s="18" t="s">
        <v>228</v>
      </c>
      <c r="C90" s="36" t="s">
        <v>229</v>
      </c>
      <c r="D90" s="20" t="s">
        <v>35</v>
      </c>
      <c r="E90" s="21">
        <v>2.0</v>
      </c>
      <c r="F90" s="22" t="s">
        <v>83</v>
      </c>
      <c r="G90" s="23" t="s">
        <v>18</v>
      </c>
      <c r="H90" s="24" t="s">
        <v>12</v>
      </c>
      <c r="I90" s="25">
        <f>IFERROR(VLOOKUP(VALUE(B90), 'คำนวณ '!A:U, 21, FALSE), "")</f>
        <v>1</v>
      </c>
      <c r="J90" s="26">
        <f>IFERROR(VLOOKUP(VALUE(B90), 'คำนวณ '!A:V, 22, FALSE), "")</f>
        <v>1</v>
      </c>
      <c r="K90" s="27" t="s">
        <v>19</v>
      </c>
      <c r="U90" s="26"/>
      <c r="X90" s="26"/>
    </row>
    <row r="91" ht="15.0" customHeight="1">
      <c r="A91" s="11">
        <v>114.0</v>
      </c>
      <c r="B91" s="18" t="s">
        <v>230</v>
      </c>
      <c r="C91" s="36" t="s">
        <v>231</v>
      </c>
      <c r="D91" s="20" t="s">
        <v>35</v>
      </c>
      <c r="E91" s="21">
        <v>2.0</v>
      </c>
      <c r="F91" s="22" t="s">
        <v>83</v>
      </c>
      <c r="G91" s="23" t="s">
        <v>18</v>
      </c>
      <c r="H91" s="24" t="s">
        <v>12</v>
      </c>
      <c r="I91" s="25">
        <f>IFERROR(VLOOKUP(VALUE(B91), 'คำนวณ '!A:U, 21, FALSE), "")</f>
        <v>1</v>
      </c>
      <c r="J91" s="26">
        <f>IFERROR(VLOOKUP(VALUE(B91), 'คำนวณ '!A:V, 22, FALSE), "")</f>
        <v>1</v>
      </c>
      <c r="K91" s="27" t="s">
        <v>19</v>
      </c>
      <c r="U91" s="26"/>
      <c r="X91" s="26"/>
    </row>
    <row r="92" ht="15.0" customHeight="1">
      <c r="A92" s="11">
        <v>114.0</v>
      </c>
      <c r="B92" s="18" t="s">
        <v>232</v>
      </c>
      <c r="C92" s="36" t="s">
        <v>233</v>
      </c>
      <c r="D92" s="20" t="s">
        <v>35</v>
      </c>
      <c r="E92" s="21">
        <v>2.0</v>
      </c>
      <c r="F92" s="22" t="s">
        <v>83</v>
      </c>
      <c r="G92" s="23" t="s">
        <v>18</v>
      </c>
      <c r="H92" s="24" t="s">
        <v>12</v>
      </c>
      <c r="I92" s="25">
        <f>IFERROR(VLOOKUP(VALUE(B92), 'คำนวณ '!A:U, 21, FALSE), "")</f>
        <v>1</v>
      </c>
      <c r="J92" s="26">
        <f>IFERROR(VLOOKUP(VALUE(B92), 'คำนวณ '!A:V, 22, FALSE), "")</f>
        <v>1</v>
      </c>
      <c r="K92" s="27" t="s">
        <v>19</v>
      </c>
      <c r="U92" s="26"/>
      <c r="X92" s="26"/>
    </row>
    <row r="93" ht="15.0" customHeight="1">
      <c r="A93" s="11">
        <v>114.0</v>
      </c>
      <c r="B93" s="18" t="s">
        <v>234</v>
      </c>
      <c r="C93" s="36" t="s">
        <v>235</v>
      </c>
      <c r="D93" s="20" t="s">
        <v>35</v>
      </c>
      <c r="E93" s="21">
        <v>2.0</v>
      </c>
      <c r="F93" s="22" t="s">
        <v>83</v>
      </c>
      <c r="G93" s="23" t="s">
        <v>18</v>
      </c>
      <c r="H93" s="24" t="s">
        <v>12</v>
      </c>
      <c r="I93" s="25">
        <f>IFERROR(VLOOKUP(VALUE(B93), 'คำนวณ '!A:U, 21, FALSE), "")</f>
        <v>1</v>
      </c>
      <c r="J93" s="26">
        <f>IFERROR(VLOOKUP(VALUE(B93), 'คำนวณ '!A:V, 22, FALSE), "")</f>
        <v>1</v>
      </c>
      <c r="K93" s="27" t="s">
        <v>19</v>
      </c>
      <c r="U93" s="26"/>
      <c r="X93" s="26"/>
    </row>
    <row r="94" ht="15.0" customHeight="1">
      <c r="A94" s="11">
        <v>114.0</v>
      </c>
      <c r="B94" s="18" t="s">
        <v>236</v>
      </c>
      <c r="C94" s="36" t="s">
        <v>237</v>
      </c>
      <c r="D94" s="20" t="s">
        <v>35</v>
      </c>
      <c r="E94" s="21">
        <v>4.0</v>
      </c>
      <c r="F94" s="22" t="s">
        <v>238</v>
      </c>
      <c r="G94" s="23" t="s">
        <v>18</v>
      </c>
      <c r="H94" s="24" t="s">
        <v>12</v>
      </c>
      <c r="I94" s="25">
        <f>IFERROR(VLOOKUP(VALUE(B94), 'คำนวณ '!A:U, 21, FALSE), "")</f>
        <v>1</v>
      </c>
      <c r="J94" s="26">
        <f>IFERROR(VLOOKUP(VALUE(B94), 'คำนวณ '!A:V, 22, FALSE), "")</f>
        <v>1</v>
      </c>
      <c r="K94" s="27" t="s">
        <v>19</v>
      </c>
      <c r="U94" s="26"/>
      <c r="X94" s="26"/>
    </row>
    <row r="95" ht="15.0" customHeight="1">
      <c r="A95" s="11">
        <v>114.0</v>
      </c>
      <c r="B95" s="18" t="s">
        <v>239</v>
      </c>
      <c r="C95" s="36" t="s">
        <v>240</v>
      </c>
      <c r="D95" s="20" t="s">
        <v>35</v>
      </c>
      <c r="E95" s="21">
        <v>2.0</v>
      </c>
      <c r="F95" s="22" t="s">
        <v>83</v>
      </c>
      <c r="G95" s="23" t="s">
        <v>18</v>
      </c>
      <c r="H95" s="24" t="s">
        <v>12</v>
      </c>
      <c r="I95" s="25">
        <f>IFERROR(VLOOKUP(VALUE(B95), 'คำนวณ '!A:U, 21, FALSE), "")</f>
        <v>1</v>
      </c>
      <c r="J95" s="26">
        <f>IFERROR(VLOOKUP(VALUE(B95), 'คำนวณ '!A:V, 22, FALSE), "")</f>
        <v>1</v>
      </c>
      <c r="K95" s="27" t="s">
        <v>19</v>
      </c>
      <c r="U95" s="26"/>
      <c r="X95" s="26"/>
    </row>
    <row r="96" ht="15.0" customHeight="1">
      <c r="A96" s="11">
        <v>114.0</v>
      </c>
      <c r="B96" s="18" t="s">
        <v>241</v>
      </c>
      <c r="C96" s="36" t="s">
        <v>242</v>
      </c>
      <c r="D96" s="20" t="s">
        <v>35</v>
      </c>
      <c r="E96" s="21">
        <v>2.0</v>
      </c>
      <c r="F96" s="22" t="s">
        <v>83</v>
      </c>
      <c r="G96" s="23" t="s">
        <v>18</v>
      </c>
      <c r="H96" s="24" t="s">
        <v>12</v>
      </c>
      <c r="I96" s="25">
        <f>IFERROR(VLOOKUP(VALUE(B96), 'คำนวณ '!A:U, 21, FALSE), "")</f>
        <v>1</v>
      </c>
      <c r="J96" s="26">
        <f>IFERROR(VLOOKUP(VALUE(B96), 'คำนวณ '!A:V, 22, FALSE), "")</f>
        <v>1</v>
      </c>
      <c r="K96" s="27" t="s">
        <v>19</v>
      </c>
      <c r="U96" s="26"/>
      <c r="X96" s="26"/>
    </row>
    <row r="97" ht="15.0" customHeight="1">
      <c r="A97" s="11">
        <v>114.0</v>
      </c>
      <c r="B97" s="18" t="s">
        <v>243</v>
      </c>
      <c r="C97" s="36" t="s">
        <v>244</v>
      </c>
      <c r="D97" s="20" t="s">
        <v>35</v>
      </c>
      <c r="E97" s="21">
        <v>2.0</v>
      </c>
      <c r="F97" s="22" t="s">
        <v>83</v>
      </c>
      <c r="G97" s="23" t="s">
        <v>18</v>
      </c>
      <c r="H97" s="24" t="s">
        <v>12</v>
      </c>
      <c r="I97" s="25">
        <f>IFERROR(VLOOKUP(VALUE(B97), 'คำนวณ '!A:U, 21, FALSE), "")</f>
        <v>1</v>
      </c>
      <c r="J97" s="26">
        <f>IFERROR(VLOOKUP(VALUE(B97), 'คำนวณ '!A:V, 22, FALSE), "")</f>
        <v>1</v>
      </c>
      <c r="K97" s="27" t="s">
        <v>19</v>
      </c>
      <c r="U97" s="26"/>
      <c r="X97" s="26"/>
    </row>
    <row r="98" ht="15.0" customHeight="1">
      <c r="A98" s="11">
        <v>114.0</v>
      </c>
      <c r="B98" s="18" t="s">
        <v>245</v>
      </c>
      <c r="C98" s="36" t="s">
        <v>246</v>
      </c>
      <c r="D98" s="20" t="s">
        <v>35</v>
      </c>
      <c r="E98" s="21">
        <v>2.0</v>
      </c>
      <c r="F98" s="22" t="s">
        <v>83</v>
      </c>
      <c r="G98" s="23" t="s">
        <v>18</v>
      </c>
      <c r="H98" s="24" t="s">
        <v>12</v>
      </c>
      <c r="I98" s="25">
        <f>IFERROR(VLOOKUP(VALUE(B98), 'คำนวณ '!A:U, 21, FALSE), "")</f>
        <v>1</v>
      </c>
      <c r="J98" s="26">
        <f>IFERROR(VLOOKUP(VALUE(B98), 'คำนวณ '!A:V, 22, FALSE), "")</f>
        <v>1</v>
      </c>
      <c r="K98" s="27" t="s">
        <v>19</v>
      </c>
      <c r="U98" s="26"/>
      <c r="X98" s="26"/>
    </row>
    <row r="99" ht="15.0" customHeight="1">
      <c r="A99" s="11">
        <v>114.0</v>
      </c>
      <c r="B99" s="18" t="s">
        <v>247</v>
      </c>
      <c r="C99" s="36" t="s">
        <v>248</v>
      </c>
      <c r="D99" s="20" t="s">
        <v>35</v>
      </c>
      <c r="E99" s="21">
        <v>2.0</v>
      </c>
      <c r="F99" s="22" t="s">
        <v>83</v>
      </c>
      <c r="G99" s="23" t="s">
        <v>18</v>
      </c>
      <c r="H99" s="24" t="s">
        <v>12</v>
      </c>
      <c r="I99" s="25">
        <f>IFERROR(VLOOKUP(VALUE(B99), 'คำนวณ '!A:U, 21, FALSE), "")</f>
        <v>1</v>
      </c>
      <c r="J99" s="26">
        <f>IFERROR(VLOOKUP(VALUE(B99), 'คำนวณ '!A:V, 22, FALSE), "")</f>
        <v>1</v>
      </c>
      <c r="K99" s="27" t="s">
        <v>19</v>
      </c>
      <c r="U99" s="26"/>
      <c r="X99" s="26"/>
    </row>
    <row r="100" ht="15.0" customHeight="1">
      <c r="A100" s="11">
        <v>114.0</v>
      </c>
      <c r="B100" s="18" t="s">
        <v>249</v>
      </c>
      <c r="C100" s="36" t="s">
        <v>250</v>
      </c>
      <c r="D100" s="20" t="s">
        <v>35</v>
      </c>
      <c r="E100" s="21">
        <v>2.0</v>
      </c>
      <c r="F100" s="22" t="s">
        <v>83</v>
      </c>
      <c r="G100" s="23" t="s">
        <v>18</v>
      </c>
      <c r="H100" s="24" t="s">
        <v>12</v>
      </c>
      <c r="I100" s="25">
        <f>IFERROR(VLOOKUP(VALUE(B100), 'คำนวณ '!A:U, 21, FALSE), "")</f>
        <v>1</v>
      </c>
      <c r="J100" s="26">
        <f>IFERROR(VLOOKUP(VALUE(B100), 'คำนวณ '!A:V, 22, FALSE), "")</f>
        <v>1</v>
      </c>
      <c r="K100" s="27" t="s">
        <v>19</v>
      </c>
      <c r="U100" s="26"/>
      <c r="X100" s="26"/>
    </row>
    <row r="101" ht="15.0" customHeight="1">
      <c r="A101" s="11">
        <v>114.0</v>
      </c>
      <c r="B101" s="18" t="s">
        <v>251</v>
      </c>
      <c r="C101" s="36" t="s">
        <v>252</v>
      </c>
      <c r="D101" s="20" t="s">
        <v>35</v>
      </c>
      <c r="E101" s="21">
        <v>2.0</v>
      </c>
      <c r="F101" s="22" t="s">
        <v>83</v>
      </c>
      <c r="G101" s="23" t="s">
        <v>18</v>
      </c>
      <c r="H101" s="24" t="s">
        <v>12</v>
      </c>
      <c r="I101" s="25">
        <f>IFERROR(VLOOKUP(VALUE(B101), 'คำนวณ '!A:U, 21, FALSE), "")</f>
        <v>1</v>
      </c>
      <c r="J101" s="26">
        <f>IFERROR(VLOOKUP(VALUE(B101), 'คำนวณ '!A:V, 22, FALSE), "")</f>
        <v>1</v>
      </c>
      <c r="K101" s="27" t="s">
        <v>19</v>
      </c>
      <c r="U101" s="26"/>
      <c r="X101" s="26"/>
    </row>
    <row r="102" ht="15.0" customHeight="1">
      <c r="A102" s="11">
        <v>114.0</v>
      </c>
      <c r="B102" s="18" t="s">
        <v>253</v>
      </c>
      <c r="C102" s="36" t="s">
        <v>254</v>
      </c>
      <c r="D102" s="20" t="s">
        <v>35</v>
      </c>
      <c r="E102" s="21">
        <v>2.0</v>
      </c>
      <c r="F102" s="22" t="s">
        <v>83</v>
      </c>
      <c r="G102" s="23" t="s">
        <v>18</v>
      </c>
      <c r="H102" s="24" t="s">
        <v>12</v>
      </c>
      <c r="I102" s="25">
        <f>IFERROR(VLOOKUP(VALUE(B102), 'คำนวณ '!A:U, 21, FALSE), "")</f>
        <v>1</v>
      </c>
      <c r="J102" s="26">
        <f>IFERROR(VLOOKUP(VALUE(B102), 'คำนวณ '!A:V, 22, FALSE), "")</f>
        <v>1</v>
      </c>
      <c r="K102" s="27" t="s">
        <v>19</v>
      </c>
      <c r="U102" s="26"/>
      <c r="X102" s="26"/>
    </row>
    <row r="103" ht="15.0" customHeight="1">
      <c r="A103" s="11">
        <v>114.0</v>
      </c>
      <c r="B103" s="18" t="s">
        <v>255</v>
      </c>
      <c r="C103" s="36" t="s">
        <v>256</v>
      </c>
      <c r="D103" s="20" t="s">
        <v>35</v>
      </c>
      <c r="E103" s="21">
        <v>2.0</v>
      </c>
      <c r="F103" s="22" t="s">
        <v>83</v>
      </c>
      <c r="G103" s="23" t="s">
        <v>18</v>
      </c>
      <c r="H103" s="24" t="s">
        <v>12</v>
      </c>
      <c r="I103" s="25">
        <f>IFERROR(VLOOKUP(VALUE(B103), 'คำนวณ '!A:U, 21, FALSE), "")</f>
        <v>1</v>
      </c>
      <c r="J103" s="26">
        <f>IFERROR(VLOOKUP(VALUE(B103), 'คำนวณ '!A:V, 22, FALSE), "")</f>
        <v>1</v>
      </c>
      <c r="K103" s="27" t="s">
        <v>19</v>
      </c>
      <c r="U103" s="26"/>
      <c r="X103" s="26"/>
    </row>
    <row r="104" ht="15.0" customHeight="1">
      <c r="A104" s="11">
        <v>114.0</v>
      </c>
      <c r="B104" s="18" t="s">
        <v>257</v>
      </c>
      <c r="C104" s="36" t="s">
        <v>258</v>
      </c>
      <c r="D104" s="20" t="s">
        <v>39</v>
      </c>
      <c r="E104" s="21">
        <v>2.0</v>
      </c>
      <c r="F104" s="22" t="s">
        <v>83</v>
      </c>
      <c r="G104" s="23" t="s">
        <v>18</v>
      </c>
      <c r="H104" s="24" t="s">
        <v>12</v>
      </c>
      <c r="I104" s="25">
        <f>IFERROR(VLOOKUP(VALUE(B104), 'คำนวณ '!A:U, 21, FALSE), "")</f>
        <v>1</v>
      </c>
      <c r="J104" s="26">
        <f>IFERROR(VLOOKUP(VALUE(B104), 'คำนวณ '!A:V, 22, FALSE), "")</f>
        <v>1</v>
      </c>
      <c r="K104" s="27" t="s">
        <v>19</v>
      </c>
      <c r="U104" s="26"/>
      <c r="X104" s="26"/>
    </row>
    <row r="105" ht="15.0" customHeight="1">
      <c r="A105" s="11">
        <v>114.0</v>
      </c>
      <c r="B105" s="18" t="s">
        <v>259</v>
      </c>
      <c r="C105" s="36" t="s">
        <v>260</v>
      </c>
      <c r="D105" s="20" t="s">
        <v>39</v>
      </c>
      <c r="E105" s="21">
        <v>4.0</v>
      </c>
      <c r="F105" s="22" t="s">
        <v>261</v>
      </c>
      <c r="G105" s="23" t="s">
        <v>18</v>
      </c>
      <c r="H105" s="24" t="s">
        <v>12</v>
      </c>
      <c r="I105" s="25">
        <f>IFERROR(VLOOKUP(VALUE(B105), 'คำนวณ '!A:U, 21, FALSE), "")</f>
        <v>1</v>
      </c>
      <c r="J105" s="26">
        <f>IFERROR(VLOOKUP(VALUE(B105), 'คำนวณ '!A:V, 22, FALSE), "")</f>
        <v>1</v>
      </c>
      <c r="K105" s="27" t="s">
        <v>19</v>
      </c>
      <c r="U105" s="26"/>
      <c r="X105" s="26"/>
    </row>
    <row r="106" ht="15.0" customHeight="1">
      <c r="A106" s="11">
        <v>114.0</v>
      </c>
      <c r="B106" s="18" t="s">
        <v>262</v>
      </c>
      <c r="C106" s="36" t="s">
        <v>263</v>
      </c>
      <c r="D106" s="20" t="s">
        <v>39</v>
      </c>
      <c r="E106" s="21">
        <v>2.0</v>
      </c>
      <c r="F106" s="22" t="s">
        <v>83</v>
      </c>
      <c r="G106" s="23" t="s">
        <v>18</v>
      </c>
      <c r="H106" s="24" t="s">
        <v>12</v>
      </c>
      <c r="I106" s="25">
        <f>IFERROR(VLOOKUP(VALUE(B106), 'คำนวณ '!A:U, 21, FALSE), "")</f>
        <v>1</v>
      </c>
      <c r="J106" s="26">
        <f>IFERROR(VLOOKUP(VALUE(B106), 'คำนวณ '!A:V, 22, FALSE), "")</f>
        <v>1</v>
      </c>
      <c r="K106" s="27" t="s">
        <v>19</v>
      </c>
      <c r="U106" s="26"/>
      <c r="X106" s="26"/>
    </row>
    <row r="107" ht="15.0" customHeight="1">
      <c r="A107" s="11">
        <v>114.0</v>
      </c>
      <c r="B107" s="18" t="s">
        <v>264</v>
      </c>
      <c r="C107" s="36" t="s">
        <v>265</v>
      </c>
      <c r="D107" s="20" t="s">
        <v>39</v>
      </c>
      <c r="E107" s="21">
        <v>2.0</v>
      </c>
      <c r="F107" s="22" t="s">
        <v>83</v>
      </c>
      <c r="G107" s="23" t="s">
        <v>18</v>
      </c>
      <c r="H107" s="24" t="s">
        <v>12</v>
      </c>
      <c r="I107" s="25">
        <f>IFERROR(VLOOKUP(VALUE(B107), 'คำนวณ '!A:U, 21, FALSE), "")</f>
        <v>1</v>
      </c>
      <c r="J107" s="26">
        <f>IFERROR(VLOOKUP(VALUE(B107), 'คำนวณ '!A:V, 22, FALSE), "")</f>
        <v>1</v>
      </c>
      <c r="K107" s="27" t="s">
        <v>19</v>
      </c>
      <c r="U107" s="26"/>
      <c r="X107" s="26"/>
    </row>
    <row r="108" ht="15.0" customHeight="1">
      <c r="A108" s="11">
        <v>114.0</v>
      </c>
      <c r="B108" s="18" t="s">
        <v>266</v>
      </c>
      <c r="C108" s="36" t="s">
        <v>267</v>
      </c>
      <c r="D108" s="20" t="s">
        <v>39</v>
      </c>
      <c r="E108" s="21">
        <v>2.0</v>
      </c>
      <c r="F108" s="22" t="s">
        <v>83</v>
      </c>
      <c r="G108" s="23" t="s">
        <v>18</v>
      </c>
      <c r="H108" s="24" t="s">
        <v>12</v>
      </c>
      <c r="I108" s="25">
        <f>IFERROR(VLOOKUP(VALUE(B108), 'คำนวณ '!A:U, 21, FALSE), "")</f>
        <v>1</v>
      </c>
      <c r="J108" s="26" t="str">
        <f>IFERROR(VLOOKUP(VALUE(B108), 'คำนวณ '!A:V, 22, FALSE), "")</f>
        <v/>
      </c>
      <c r="K108" s="27" t="s">
        <v>19</v>
      </c>
      <c r="U108" s="26"/>
      <c r="X108" s="26"/>
    </row>
    <row r="109" ht="15.0" customHeight="1">
      <c r="A109" s="11">
        <v>114.0</v>
      </c>
      <c r="B109" s="18" t="s">
        <v>268</v>
      </c>
      <c r="C109" s="36" t="s">
        <v>269</v>
      </c>
      <c r="D109" s="59"/>
      <c r="E109" s="60"/>
      <c r="F109" s="61"/>
      <c r="G109" s="23" t="s">
        <v>18</v>
      </c>
      <c r="H109" s="24" t="s">
        <v>12</v>
      </c>
      <c r="I109" s="25" t="str">
        <f>IFERROR(VLOOKUP(VALUE(B109), 'คำนวณ '!A:U, 21, FALSE), "")</f>
        <v/>
      </c>
      <c r="J109" s="26" t="str">
        <f>IFERROR(VLOOKUP(VALUE(B109), 'คำนวณ '!A:V, 22, FALSE), "")</f>
        <v/>
      </c>
      <c r="K109" s="27" t="s">
        <v>19</v>
      </c>
      <c r="U109" s="26"/>
      <c r="X109" s="26"/>
    </row>
    <row r="110" ht="15.0" customHeight="1">
      <c r="A110" s="11">
        <v>114.0</v>
      </c>
      <c r="B110" s="18" t="s">
        <v>270</v>
      </c>
      <c r="C110" s="36" t="s">
        <v>271</v>
      </c>
      <c r="D110" s="20" t="s">
        <v>39</v>
      </c>
      <c r="E110" s="21">
        <v>2.0</v>
      </c>
      <c r="F110" s="22" t="s">
        <v>83</v>
      </c>
      <c r="G110" s="23" t="s">
        <v>18</v>
      </c>
      <c r="H110" s="24" t="s">
        <v>12</v>
      </c>
      <c r="I110" s="25">
        <f>IFERROR(VLOOKUP(VALUE(B110), 'คำนวณ '!A:U, 21, FALSE), "")</f>
        <v>1</v>
      </c>
      <c r="J110" s="26">
        <f>IFERROR(VLOOKUP(VALUE(B110), 'คำนวณ '!A:V, 22, FALSE), "")</f>
        <v>1</v>
      </c>
      <c r="K110" s="27" t="s">
        <v>19</v>
      </c>
      <c r="U110" s="26"/>
      <c r="X110" s="26"/>
    </row>
    <row r="111" ht="15.0" customHeight="1">
      <c r="A111" s="11">
        <v>114.0</v>
      </c>
      <c r="B111" s="18" t="s">
        <v>272</v>
      </c>
      <c r="C111" s="36" t="s">
        <v>273</v>
      </c>
      <c r="D111" s="20" t="s">
        <v>39</v>
      </c>
      <c r="E111" s="21">
        <v>2.0</v>
      </c>
      <c r="F111" s="22" t="s">
        <v>83</v>
      </c>
      <c r="G111" s="23" t="s">
        <v>18</v>
      </c>
      <c r="H111" s="24" t="s">
        <v>12</v>
      </c>
      <c r="I111" s="25">
        <f>IFERROR(VLOOKUP(VALUE(B111), 'คำนวณ '!A:U, 21, FALSE), "")</f>
        <v>1</v>
      </c>
      <c r="J111" s="26">
        <f>IFERROR(VLOOKUP(VALUE(B111), 'คำนวณ '!A:V, 22, FALSE), "")</f>
        <v>1</v>
      </c>
      <c r="K111" s="27" t="s">
        <v>19</v>
      </c>
      <c r="U111" s="26"/>
      <c r="X111" s="26"/>
    </row>
    <row r="112" ht="15.0" customHeight="1">
      <c r="A112" s="11">
        <v>114.0</v>
      </c>
      <c r="B112" s="18" t="s">
        <v>274</v>
      </c>
      <c r="C112" s="36" t="s">
        <v>275</v>
      </c>
      <c r="D112" s="20" t="s">
        <v>39</v>
      </c>
      <c r="E112" s="21">
        <v>4.0</v>
      </c>
      <c r="F112" s="22" t="s">
        <v>276</v>
      </c>
      <c r="G112" s="23" t="s">
        <v>18</v>
      </c>
      <c r="H112" s="24" t="s">
        <v>12</v>
      </c>
      <c r="I112" s="25">
        <f>IFERROR(VLOOKUP(VALUE(B112), 'คำนวณ '!A:U, 21, FALSE), "")</f>
        <v>1</v>
      </c>
      <c r="J112" s="26">
        <f>IFERROR(VLOOKUP(VALUE(B112), 'คำนวณ '!A:V, 22, FALSE), "")</f>
        <v>1</v>
      </c>
      <c r="K112" s="27" t="s">
        <v>19</v>
      </c>
      <c r="U112" s="26"/>
      <c r="X112" s="26"/>
    </row>
    <row r="113" ht="15.0" customHeight="1">
      <c r="A113" s="11">
        <v>114.0</v>
      </c>
      <c r="B113" s="18" t="s">
        <v>277</v>
      </c>
      <c r="C113" s="36" t="s">
        <v>278</v>
      </c>
      <c r="D113" s="20" t="s">
        <v>39</v>
      </c>
      <c r="E113" s="21">
        <v>2.0</v>
      </c>
      <c r="F113" s="22" t="s">
        <v>83</v>
      </c>
      <c r="G113" s="23" t="s">
        <v>18</v>
      </c>
      <c r="H113" s="24" t="s">
        <v>12</v>
      </c>
      <c r="I113" s="25" t="str">
        <f>IFERROR(VLOOKUP(VALUE(B113), 'คำนวณ '!A:U, 21, FALSE), "")</f>
        <v/>
      </c>
      <c r="J113" s="26" t="str">
        <f>IFERROR(VLOOKUP(VALUE(B113), 'คำนวณ '!A:V, 22, FALSE), "")</f>
        <v/>
      </c>
      <c r="K113" s="27" t="s">
        <v>19</v>
      </c>
      <c r="U113" s="26"/>
      <c r="X113" s="26"/>
    </row>
    <row r="114" ht="15.0" customHeight="1">
      <c r="A114" s="11">
        <v>114.0</v>
      </c>
      <c r="B114" s="18" t="s">
        <v>279</v>
      </c>
      <c r="C114" s="36" t="s">
        <v>280</v>
      </c>
      <c r="D114" s="20" t="s">
        <v>39</v>
      </c>
      <c r="E114" s="21">
        <v>2.0</v>
      </c>
      <c r="F114" s="22" t="s">
        <v>83</v>
      </c>
      <c r="G114" s="23" t="s">
        <v>18</v>
      </c>
      <c r="H114" s="24" t="s">
        <v>12</v>
      </c>
      <c r="I114" s="25" t="str">
        <f>IFERROR(VLOOKUP(VALUE(B114), 'คำนวณ '!A:U, 21, FALSE), "")</f>
        <v/>
      </c>
      <c r="J114" s="26" t="str">
        <f>IFERROR(VLOOKUP(VALUE(B114), 'คำนวณ '!A:V, 22, FALSE), "")</f>
        <v/>
      </c>
      <c r="K114" s="27" t="s">
        <v>19</v>
      </c>
      <c r="U114" s="26"/>
      <c r="X114" s="26"/>
    </row>
    <row r="115" ht="15.0" customHeight="1">
      <c r="A115" s="11">
        <v>114.0</v>
      </c>
      <c r="B115" s="18" t="s">
        <v>281</v>
      </c>
      <c r="C115" s="36" t="s">
        <v>282</v>
      </c>
      <c r="D115" s="20" t="s">
        <v>39</v>
      </c>
      <c r="E115" s="21">
        <v>2.0</v>
      </c>
      <c r="F115" s="22" t="s">
        <v>83</v>
      </c>
      <c r="G115" s="23" t="s">
        <v>18</v>
      </c>
      <c r="H115" s="24" t="s">
        <v>12</v>
      </c>
      <c r="I115" s="25">
        <f>IFERROR(VLOOKUP(VALUE(B115), 'คำนวณ '!A:U, 21, FALSE), "")</f>
        <v>1</v>
      </c>
      <c r="J115" s="26">
        <f>IFERROR(VLOOKUP(VALUE(B115), 'คำนวณ '!A:V, 22, FALSE), "")</f>
        <v>1</v>
      </c>
      <c r="K115" s="27" t="s">
        <v>19</v>
      </c>
      <c r="U115" s="26"/>
      <c r="X115" s="26"/>
    </row>
    <row r="116" ht="15.0" customHeight="1">
      <c r="A116" s="11">
        <v>114.0</v>
      </c>
      <c r="B116" s="18" t="s">
        <v>283</v>
      </c>
      <c r="C116" s="36" t="s">
        <v>284</v>
      </c>
      <c r="D116" s="20" t="s">
        <v>39</v>
      </c>
      <c r="E116" s="21">
        <v>2.0</v>
      </c>
      <c r="F116" s="22" t="s">
        <v>83</v>
      </c>
      <c r="G116" s="23" t="s">
        <v>18</v>
      </c>
      <c r="H116" s="24" t="s">
        <v>12</v>
      </c>
      <c r="I116" s="25">
        <f>IFERROR(VLOOKUP(VALUE(B116), 'คำนวณ '!A:U, 21, FALSE), "")</f>
        <v>1</v>
      </c>
      <c r="J116" s="26">
        <f>IFERROR(VLOOKUP(VALUE(B116), 'คำนวณ '!A:V, 22, FALSE), "")</f>
        <v>1</v>
      </c>
      <c r="K116" s="27" t="s">
        <v>19</v>
      </c>
      <c r="U116" s="26"/>
      <c r="X116" s="26"/>
    </row>
    <row r="117" ht="15.0" customHeight="1">
      <c r="A117" s="11">
        <v>114.0</v>
      </c>
      <c r="B117" s="18" t="s">
        <v>285</v>
      </c>
      <c r="C117" s="36" t="s">
        <v>286</v>
      </c>
      <c r="D117" s="20" t="s">
        <v>28</v>
      </c>
      <c r="E117" s="21">
        <v>2.0</v>
      </c>
      <c r="F117" s="22" t="s">
        <v>83</v>
      </c>
      <c r="G117" s="23" t="s">
        <v>18</v>
      </c>
      <c r="H117" s="24" t="s">
        <v>12</v>
      </c>
      <c r="I117" s="25">
        <f>IFERROR(VLOOKUP(VALUE(B117), 'คำนวณ '!A:U, 21, FALSE), "")</f>
        <v>1</v>
      </c>
      <c r="J117" s="26">
        <f>IFERROR(VLOOKUP(VALUE(B117), 'คำนวณ '!A:V, 22, FALSE), "")</f>
        <v>1</v>
      </c>
      <c r="K117" s="27" t="s">
        <v>19</v>
      </c>
      <c r="U117" s="26"/>
      <c r="X117" s="26"/>
    </row>
    <row r="118" ht="15.0" customHeight="1">
      <c r="A118" s="11">
        <v>114.0</v>
      </c>
      <c r="B118" s="18" t="s">
        <v>287</v>
      </c>
      <c r="C118" s="36" t="s">
        <v>288</v>
      </c>
      <c r="D118" s="20" t="s">
        <v>28</v>
      </c>
      <c r="E118" s="21">
        <v>2.0</v>
      </c>
      <c r="F118" s="22" t="s">
        <v>83</v>
      </c>
      <c r="G118" s="23" t="s">
        <v>18</v>
      </c>
      <c r="H118" s="24" t="s">
        <v>12</v>
      </c>
      <c r="I118" s="25">
        <f>IFERROR(VLOOKUP(VALUE(B118), 'คำนวณ '!A:U, 21, FALSE), "")</f>
        <v>1</v>
      </c>
      <c r="J118" s="26">
        <f>IFERROR(VLOOKUP(VALUE(B118), 'คำนวณ '!A:V, 22, FALSE), "")</f>
        <v>1</v>
      </c>
      <c r="K118" s="27" t="s">
        <v>19</v>
      </c>
      <c r="U118" s="26"/>
      <c r="X118" s="26"/>
    </row>
    <row r="119" ht="15.0" customHeight="1">
      <c r="A119" s="11">
        <v>114.0</v>
      </c>
      <c r="B119" s="18" t="s">
        <v>289</v>
      </c>
      <c r="C119" s="36" t="s">
        <v>290</v>
      </c>
      <c r="D119" s="20" t="s">
        <v>28</v>
      </c>
      <c r="E119" s="21">
        <v>2.0</v>
      </c>
      <c r="F119" s="22" t="s">
        <v>83</v>
      </c>
      <c r="G119" s="23" t="s">
        <v>18</v>
      </c>
      <c r="H119" s="24" t="s">
        <v>12</v>
      </c>
      <c r="I119" s="25" t="str">
        <f>IFERROR(VLOOKUP(VALUE(B119), 'คำนวณ '!A:U, 21, FALSE), "")</f>
        <v/>
      </c>
      <c r="J119" s="26" t="str">
        <f>IFERROR(VLOOKUP(VALUE(B119), 'คำนวณ '!A:V, 22, FALSE), "")</f>
        <v/>
      </c>
      <c r="K119" s="27" t="s">
        <v>19</v>
      </c>
      <c r="U119" s="26"/>
      <c r="X119" s="26"/>
    </row>
    <row r="120" ht="15.0" customHeight="1">
      <c r="A120" s="11">
        <v>114.0</v>
      </c>
      <c r="B120" s="18" t="s">
        <v>291</v>
      </c>
      <c r="C120" s="36" t="s">
        <v>292</v>
      </c>
      <c r="D120" s="20" t="s">
        <v>28</v>
      </c>
      <c r="E120" s="21">
        <v>2.0</v>
      </c>
      <c r="F120" s="22" t="s">
        <v>83</v>
      </c>
      <c r="G120" s="23" t="s">
        <v>18</v>
      </c>
      <c r="H120" s="24" t="s">
        <v>12</v>
      </c>
      <c r="I120" s="25">
        <f>IFERROR(VLOOKUP(VALUE(B120), 'คำนวณ '!A:U, 21, FALSE), "")</f>
        <v>1</v>
      </c>
      <c r="J120" s="26">
        <f>IFERROR(VLOOKUP(VALUE(B120), 'คำนวณ '!A:V, 22, FALSE), "")</f>
        <v>1</v>
      </c>
      <c r="K120" s="27" t="s">
        <v>19</v>
      </c>
      <c r="U120" s="26"/>
      <c r="X120" s="26"/>
    </row>
    <row r="121" ht="15.0" customHeight="1">
      <c r="A121" s="11">
        <v>114.0</v>
      </c>
      <c r="B121" s="18" t="s">
        <v>293</v>
      </c>
      <c r="C121" s="36" t="s">
        <v>294</v>
      </c>
      <c r="D121" s="20" t="s">
        <v>28</v>
      </c>
      <c r="E121" s="21">
        <v>2.0</v>
      </c>
      <c r="F121" s="22" t="s">
        <v>83</v>
      </c>
      <c r="G121" s="23" t="s">
        <v>18</v>
      </c>
      <c r="H121" s="24" t="s">
        <v>12</v>
      </c>
      <c r="I121" s="25">
        <f>IFERROR(VLOOKUP(VALUE(B121), 'คำนวณ '!A:U, 21, FALSE), "")</f>
        <v>1</v>
      </c>
      <c r="J121" s="26">
        <f>IFERROR(VLOOKUP(VALUE(B121), 'คำนวณ '!A:V, 22, FALSE), "")</f>
        <v>1</v>
      </c>
      <c r="K121" s="27" t="s">
        <v>19</v>
      </c>
      <c r="U121" s="26"/>
      <c r="X121" s="26"/>
    </row>
    <row r="122" ht="15.0" customHeight="1">
      <c r="A122" s="11">
        <v>114.0</v>
      </c>
      <c r="B122" s="18" t="s">
        <v>295</v>
      </c>
      <c r="C122" s="36" t="s">
        <v>296</v>
      </c>
      <c r="D122" s="20" t="s">
        <v>28</v>
      </c>
      <c r="E122" s="21">
        <v>2.0</v>
      </c>
      <c r="F122" s="22" t="s">
        <v>83</v>
      </c>
      <c r="G122" s="23" t="s">
        <v>18</v>
      </c>
      <c r="H122" s="24" t="s">
        <v>12</v>
      </c>
      <c r="I122" s="25">
        <f>IFERROR(VLOOKUP(VALUE(B122), 'คำนวณ '!A:U, 21, FALSE), "")</f>
        <v>1</v>
      </c>
      <c r="J122" s="26" t="str">
        <f>IFERROR(VLOOKUP(VALUE(B122), 'คำนวณ '!A:V, 22, FALSE), "")</f>
        <v/>
      </c>
      <c r="K122" s="27" t="s">
        <v>19</v>
      </c>
      <c r="U122" s="26"/>
      <c r="X122" s="26"/>
    </row>
    <row r="123" ht="15.0" customHeight="1">
      <c r="A123" s="11">
        <v>114.0</v>
      </c>
      <c r="B123" s="18" t="s">
        <v>297</v>
      </c>
      <c r="C123" s="36" t="s">
        <v>298</v>
      </c>
      <c r="D123" s="20" t="s">
        <v>28</v>
      </c>
      <c r="E123" s="21">
        <v>2.0</v>
      </c>
      <c r="F123" s="22" t="s">
        <v>83</v>
      </c>
      <c r="G123" s="23" t="s">
        <v>18</v>
      </c>
      <c r="H123" s="24" t="s">
        <v>12</v>
      </c>
      <c r="I123" s="25">
        <f>IFERROR(VLOOKUP(VALUE(B123), 'คำนวณ '!A:U, 21, FALSE), "")</f>
        <v>1</v>
      </c>
      <c r="J123" s="26">
        <f>IFERROR(VLOOKUP(VALUE(B123), 'คำนวณ '!A:V, 22, FALSE), "")</f>
        <v>1</v>
      </c>
      <c r="K123" s="27" t="s">
        <v>19</v>
      </c>
      <c r="U123" s="26"/>
      <c r="X123" s="26"/>
    </row>
    <row r="124" ht="15.0" customHeight="1">
      <c r="A124" s="11">
        <v>114.0</v>
      </c>
      <c r="B124" s="18" t="s">
        <v>299</v>
      </c>
      <c r="C124" s="36" t="s">
        <v>300</v>
      </c>
      <c r="D124" s="20" t="s">
        <v>28</v>
      </c>
      <c r="E124" s="21">
        <v>2.0</v>
      </c>
      <c r="F124" s="22" t="s">
        <v>83</v>
      </c>
      <c r="G124" s="23" t="s">
        <v>18</v>
      </c>
      <c r="H124" s="24" t="s">
        <v>12</v>
      </c>
      <c r="I124" s="25">
        <f>IFERROR(VLOOKUP(VALUE(B124), 'คำนวณ '!A:U, 21, FALSE), "")</f>
        <v>1</v>
      </c>
      <c r="J124" s="26">
        <f>IFERROR(VLOOKUP(VALUE(B124), 'คำนวณ '!A:V, 22, FALSE), "")</f>
        <v>1</v>
      </c>
      <c r="K124" s="27" t="s">
        <v>19</v>
      </c>
      <c r="U124" s="26"/>
      <c r="X124" s="26"/>
    </row>
    <row r="125" ht="15.0" customHeight="1">
      <c r="A125" s="11">
        <v>114.0</v>
      </c>
      <c r="B125" s="18" t="s">
        <v>301</v>
      </c>
      <c r="C125" s="36" t="s">
        <v>302</v>
      </c>
      <c r="D125" s="20" t="s">
        <v>28</v>
      </c>
      <c r="E125" s="21">
        <v>2.0</v>
      </c>
      <c r="F125" s="22" t="s">
        <v>83</v>
      </c>
      <c r="G125" s="23" t="s">
        <v>18</v>
      </c>
      <c r="H125" s="24" t="s">
        <v>12</v>
      </c>
      <c r="I125" s="25">
        <f>IFERROR(VLOOKUP(VALUE(B125), 'คำนวณ '!A:U, 21, FALSE), "")</f>
        <v>1</v>
      </c>
      <c r="J125" s="26">
        <f>IFERROR(VLOOKUP(VALUE(B125), 'คำนวณ '!A:V, 22, FALSE), "")</f>
        <v>1</v>
      </c>
      <c r="K125" s="27" t="s">
        <v>19</v>
      </c>
      <c r="U125" s="26"/>
      <c r="X125" s="26"/>
    </row>
    <row r="126" ht="15.0" customHeight="1">
      <c r="A126" s="11">
        <v>114.0</v>
      </c>
      <c r="B126" s="18" t="s">
        <v>303</v>
      </c>
      <c r="C126" s="36" t="s">
        <v>304</v>
      </c>
      <c r="D126" s="20" t="s">
        <v>42</v>
      </c>
      <c r="E126" s="21">
        <v>4.0</v>
      </c>
      <c r="F126" s="22" t="s">
        <v>38</v>
      </c>
      <c r="G126" s="23" t="s">
        <v>18</v>
      </c>
      <c r="H126" s="24" t="s">
        <v>12</v>
      </c>
      <c r="I126" s="25">
        <f>IFERROR(VLOOKUP(VALUE(B126), 'คำนวณ '!A:U, 21, FALSE), "")</f>
        <v>1</v>
      </c>
      <c r="J126" s="26">
        <f>IFERROR(VLOOKUP(VALUE(B126), 'คำนวณ '!A:V, 22, FALSE), "")</f>
        <v>1</v>
      </c>
      <c r="K126" s="27" t="s">
        <v>19</v>
      </c>
      <c r="U126" s="26"/>
      <c r="X126" s="26"/>
    </row>
    <row r="127" ht="15.0" customHeight="1">
      <c r="A127" s="11">
        <v>114.0</v>
      </c>
      <c r="B127" s="18" t="s">
        <v>305</v>
      </c>
      <c r="C127" s="36" t="s">
        <v>306</v>
      </c>
      <c r="D127" s="39"/>
      <c r="E127" s="40"/>
      <c r="F127" s="41"/>
      <c r="G127" s="23" t="s">
        <v>18</v>
      </c>
      <c r="H127" s="42"/>
      <c r="I127" s="25" t="str">
        <f>IFERROR(VLOOKUP(VALUE(B127), 'คำนวณ '!A:U, 21, FALSE), "")</f>
        <v/>
      </c>
      <c r="J127" s="26" t="str">
        <f>IFERROR(VLOOKUP(VALUE(B127), 'คำนวณ '!A:V, 22, FALSE), "")</f>
        <v/>
      </c>
      <c r="K127" s="27" t="s">
        <v>19</v>
      </c>
      <c r="U127" s="26"/>
      <c r="X127" s="26"/>
    </row>
    <row r="128" ht="15.0" customHeight="1">
      <c r="A128" s="11">
        <v>114.0</v>
      </c>
      <c r="B128" s="18" t="s">
        <v>307</v>
      </c>
      <c r="C128" s="36" t="s">
        <v>308</v>
      </c>
      <c r="D128" s="20" t="s">
        <v>42</v>
      </c>
      <c r="E128" s="21">
        <v>4.0</v>
      </c>
      <c r="F128" s="22" t="s">
        <v>38</v>
      </c>
      <c r="G128" s="23" t="s">
        <v>18</v>
      </c>
      <c r="H128" s="24" t="s">
        <v>12</v>
      </c>
      <c r="I128" s="25">
        <f>IFERROR(VLOOKUP(VALUE(B128), 'คำนวณ '!A:U, 21, FALSE), "")</f>
        <v>1</v>
      </c>
      <c r="J128" s="26">
        <f>IFERROR(VLOOKUP(VALUE(B128), 'คำนวณ '!A:V, 22, FALSE), "")</f>
        <v>1</v>
      </c>
      <c r="K128" s="27" t="s">
        <v>19</v>
      </c>
      <c r="U128" s="26"/>
      <c r="X128" s="26"/>
    </row>
    <row r="129" ht="15.0" customHeight="1">
      <c r="A129" s="11">
        <v>114.0</v>
      </c>
      <c r="B129" s="18" t="s">
        <v>309</v>
      </c>
      <c r="C129" s="36" t="s">
        <v>310</v>
      </c>
      <c r="D129" s="20" t="s">
        <v>42</v>
      </c>
      <c r="E129" s="21">
        <v>4.0</v>
      </c>
      <c r="F129" s="22" t="s">
        <v>38</v>
      </c>
      <c r="G129" s="23" t="s">
        <v>18</v>
      </c>
      <c r="H129" s="24" t="s">
        <v>12</v>
      </c>
      <c r="I129" s="25">
        <f>IFERROR(VLOOKUP(VALUE(B129), 'คำนวณ '!A:U, 21, FALSE), "")</f>
        <v>1</v>
      </c>
      <c r="J129" s="26">
        <f>IFERROR(VLOOKUP(VALUE(B129), 'คำนวณ '!A:V, 22, FALSE), "")</f>
        <v>1</v>
      </c>
      <c r="K129" s="27" t="s">
        <v>19</v>
      </c>
      <c r="U129" s="26"/>
      <c r="X129" s="26"/>
    </row>
    <row r="130" ht="15.0" customHeight="1">
      <c r="A130" s="11">
        <v>114.0</v>
      </c>
      <c r="B130" s="18" t="s">
        <v>311</v>
      </c>
      <c r="C130" s="36" t="s">
        <v>312</v>
      </c>
      <c r="D130" s="39"/>
      <c r="E130" s="40"/>
      <c r="F130" s="41"/>
      <c r="G130" s="23" t="s">
        <v>18</v>
      </c>
      <c r="H130" s="42"/>
      <c r="I130" s="25" t="str">
        <f>IFERROR(VLOOKUP(VALUE(B130), 'คำนวณ '!A:U, 21, FALSE), "")</f>
        <v/>
      </c>
      <c r="J130" s="26" t="str">
        <f>IFERROR(VLOOKUP(VALUE(B130), 'คำนวณ '!A:V, 22, FALSE), "")</f>
        <v/>
      </c>
      <c r="K130" s="27" t="s">
        <v>19</v>
      </c>
      <c r="U130" s="26"/>
      <c r="X130" s="26"/>
    </row>
    <row r="131" ht="15.0" customHeight="1">
      <c r="A131" s="11">
        <v>114.0</v>
      </c>
      <c r="B131" s="18" t="s">
        <v>313</v>
      </c>
      <c r="C131" s="36" t="s">
        <v>314</v>
      </c>
      <c r="D131" s="39"/>
      <c r="E131" s="40"/>
      <c r="F131" s="41"/>
      <c r="G131" s="23" t="s">
        <v>18</v>
      </c>
      <c r="H131" s="42"/>
      <c r="I131" s="25" t="str">
        <f>IFERROR(VLOOKUP(VALUE(B131), 'คำนวณ '!A:U, 21, FALSE), "")</f>
        <v/>
      </c>
      <c r="J131" s="26" t="str">
        <f>IFERROR(VLOOKUP(VALUE(B131), 'คำนวณ '!A:V, 22, FALSE), "")</f>
        <v/>
      </c>
      <c r="K131" s="27" t="s">
        <v>19</v>
      </c>
      <c r="U131" s="26"/>
      <c r="X131" s="26"/>
    </row>
    <row r="132" ht="15.0" customHeight="1">
      <c r="A132" s="11">
        <v>114.0</v>
      </c>
      <c r="B132" s="18" t="s">
        <v>315</v>
      </c>
      <c r="C132" s="36" t="s">
        <v>316</v>
      </c>
      <c r="D132" s="20" t="s">
        <v>42</v>
      </c>
      <c r="E132" s="21">
        <v>2.0</v>
      </c>
      <c r="F132" s="22" t="s">
        <v>83</v>
      </c>
      <c r="G132" s="23" t="s">
        <v>18</v>
      </c>
      <c r="H132" s="24" t="s">
        <v>12</v>
      </c>
      <c r="I132" s="25">
        <f>IFERROR(VLOOKUP(VALUE(B132), 'คำนวณ '!A:U, 21, FALSE), "")</f>
        <v>1</v>
      </c>
      <c r="J132" s="26">
        <f>IFERROR(VLOOKUP(VALUE(B132), 'คำนวณ '!A:V, 22, FALSE), "")</f>
        <v>1</v>
      </c>
      <c r="K132" s="27" t="s">
        <v>19</v>
      </c>
      <c r="U132" s="26"/>
      <c r="X132" s="26"/>
    </row>
    <row r="133" ht="15.0" customHeight="1">
      <c r="A133" s="11">
        <v>114.0</v>
      </c>
      <c r="B133" s="18" t="s">
        <v>317</v>
      </c>
      <c r="C133" s="36" t="s">
        <v>318</v>
      </c>
      <c r="D133" s="20" t="s">
        <v>42</v>
      </c>
      <c r="E133" s="21">
        <v>2.0</v>
      </c>
      <c r="F133" s="22" t="s">
        <v>83</v>
      </c>
      <c r="G133" s="23" t="s">
        <v>18</v>
      </c>
      <c r="H133" s="24" t="s">
        <v>12</v>
      </c>
      <c r="I133" s="25">
        <f>IFERROR(VLOOKUP(VALUE(B133), 'คำนวณ '!A:U, 21, FALSE), "")</f>
        <v>1</v>
      </c>
      <c r="J133" s="26">
        <f>IFERROR(VLOOKUP(VALUE(B133), 'คำนวณ '!A:V, 22, FALSE), "")</f>
        <v>1</v>
      </c>
      <c r="K133" s="27" t="s">
        <v>19</v>
      </c>
      <c r="U133" s="26"/>
      <c r="X133" s="26"/>
    </row>
    <row r="134" ht="15.0" customHeight="1">
      <c r="A134" s="11">
        <v>114.0</v>
      </c>
      <c r="B134" s="18" t="s">
        <v>319</v>
      </c>
      <c r="C134" s="36" t="s">
        <v>320</v>
      </c>
      <c r="D134" s="39"/>
      <c r="E134" s="40"/>
      <c r="F134" s="41"/>
      <c r="G134" s="23" t="s">
        <v>20</v>
      </c>
      <c r="H134" s="42"/>
      <c r="I134" s="25" t="str">
        <f>IFERROR(VLOOKUP(VALUE(B134), 'คำนวณ '!A:U, 21, FALSE), "")</f>
        <v/>
      </c>
      <c r="J134" s="26" t="str">
        <f>IFERROR(VLOOKUP(VALUE(B134), 'คำนวณ '!A:V, 22, FALSE), "")</f>
        <v/>
      </c>
      <c r="K134" s="27" t="s">
        <v>19</v>
      </c>
      <c r="U134" s="26"/>
      <c r="X134" s="26"/>
    </row>
    <row r="135" ht="15.0" customHeight="1">
      <c r="A135" s="11">
        <v>114.0</v>
      </c>
      <c r="B135" s="18" t="s">
        <v>321</v>
      </c>
      <c r="C135" s="36" t="s">
        <v>322</v>
      </c>
      <c r="D135" s="20" t="s">
        <v>42</v>
      </c>
      <c r="E135" s="21">
        <v>4.0</v>
      </c>
      <c r="F135" s="22" t="s">
        <v>38</v>
      </c>
      <c r="G135" s="23" t="s">
        <v>18</v>
      </c>
      <c r="H135" s="24" t="s">
        <v>12</v>
      </c>
      <c r="I135" s="25">
        <f>IFERROR(VLOOKUP(VALUE(B135), 'คำนวณ '!A:U, 21, FALSE), "")</f>
        <v>1</v>
      </c>
      <c r="J135" s="26">
        <f>IFERROR(VLOOKUP(VALUE(B135), 'คำนวณ '!A:V, 22, FALSE), "")</f>
        <v>1</v>
      </c>
      <c r="K135" s="27" t="s">
        <v>19</v>
      </c>
      <c r="U135" s="26"/>
      <c r="X135" s="26"/>
    </row>
    <row r="136" ht="15.0" customHeight="1">
      <c r="A136" s="11">
        <v>114.0</v>
      </c>
      <c r="B136" s="18" t="s">
        <v>323</v>
      </c>
      <c r="C136" s="36" t="s">
        <v>324</v>
      </c>
      <c r="D136" s="20" t="s">
        <v>42</v>
      </c>
      <c r="E136" s="21">
        <v>4.0</v>
      </c>
      <c r="F136" s="22" t="s">
        <v>38</v>
      </c>
      <c r="G136" s="23" t="s">
        <v>18</v>
      </c>
      <c r="H136" s="24" t="s">
        <v>12</v>
      </c>
      <c r="I136" s="25">
        <f>IFERROR(VLOOKUP(VALUE(B136), 'คำนวณ '!A:U, 21, FALSE), "")</f>
        <v>1</v>
      </c>
      <c r="J136" s="26">
        <f>IFERROR(VLOOKUP(VALUE(B136), 'คำนวณ '!A:V, 22, FALSE), "")</f>
        <v>1</v>
      </c>
      <c r="K136" s="27" t="s">
        <v>19</v>
      </c>
      <c r="U136" s="26"/>
      <c r="X136" s="26"/>
    </row>
    <row r="137" ht="15.0" customHeight="1">
      <c r="A137" s="11">
        <v>114.0</v>
      </c>
      <c r="B137" s="18" t="s">
        <v>325</v>
      </c>
      <c r="C137" s="36" t="s">
        <v>326</v>
      </c>
      <c r="D137" s="20" t="s">
        <v>42</v>
      </c>
      <c r="E137" s="21">
        <v>2.0</v>
      </c>
      <c r="F137" s="22" t="s">
        <v>83</v>
      </c>
      <c r="G137" s="23" t="s">
        <v>18</v>
      </c>
      <c r="H137" s="24" t="s">
        <v>12</v>
      </c>
      <c r="I137" s="25">
        <f>IFERROR(VLOOKUP(VALUE(B137), 'คำนวณ '!A:U, 21, FALSE), "")</f>
        <v>1</v>
      </c>
      <c r="J137" s="26">
        <f>IFERROR(VLOOKUP(VALUE(B137), 'คำนวณ '!A:V, 22, FALSE), "")</f>
        <v>1</v>
      </c>
      <c r="K137" s="27" t="s">
        <v>19</v>
      </c>
      <c r="U137" s="26"/>
      <c r="X137" s="26"/>
    </row>
    <row r="138" ht="15.0" customHeight="1">
      <c r="A138" s="11">
        <v>114.0</v>
      </c>
      <c r="B138" s="18" t="s">
        <v>327</v>
      </c>
      <c r="C138" s="36" t="s">
        <v>328</v>
      </c>
      <c r="D138" s="20" t="s">
        <v>42</v>
      </c>
      <c r="E138" s="21">
        <v>2.0</v>
      </c>
      <c r="F138" s="22" t="s">
        <v>83</v>
      </c>
      <c r="G138" s="23" t="s">
        <v>18</v>
      </c>
      <c r="H138" s="24" t="s">
        <v>12</v>
      </c>
      <c r="I138" s="25">
        <f>IFERROR(VLOOKUP(VALUE(B138), 'คำนวณ '!A:U, 21, FALSE), "")</f>
        <v>1</v>
      </c>
      <c r="J138" s="26">
        <f>IFERROR(VLOOKUP(VALUE(B138), 'คำนวณ '!A:V, 22, FALSE), "")</f>
        <v>1</v>
      </c>
      <c r="K138" s="27" t="s">
        <v>19</v>
      </c>
      <c r="U138" s="26"/>
      <c r="X138" s="26"/>
    </row>
    <row r="139" ht="15.0" customHeight="1">
      <c r="A139" s="11">
        <v>114.0</v>
      </c>
      <c r="B139" s="18" t="s">
        <v>329</v>
      </c>
      <c r="C139" s="36" t="s">
        <v>330</v>
      </c>
      <c r="D139" s="20" t="s">
        <v>42</v>
      </c>
      <c r="E139" s="21">
        <v>2.0</v>
      </c>
      <c r="F139" s="22" t="s">
        <v>83</v>
      </c>
      <c r="G139" s="23" t="s">
        <v>18</v>
      </c>
      <c r="H139" s="24" t="s">
        <v>12</v>
      </c>
      <c r="I139" s="25">
        <f>IFERROR(VLOOKUP(VALUE(B139), 'คำนวณ '!A:U, 21, FALSE), "")</f>
        <v>1</v>
      </c>
      <c r="J139" s="26">
        <f>IFERROR(VLOOKUP(VALUE(B139), 'คำนวณ '!A:V, 22, FALSE), "")</f>
        <v>1</v>
      </c>
      <c r="K139" s="27" t="s">
        <v>19</v>
      </c>
      <c r="U139" s="26"/>
      <c r="X139" s="26"/>
    </row>
    <row r="140" ht="15.0" customHeight="1">
      <c r="A140" s="11">
        <v>114.0</v>
      </c>
      <c r="B140" s="18" t="s">
        <v>331</v>
      </c>
      <c r="C140" s="36" t="s">
        <v>332</v>
      </c>
      <c r="D140" s="20" t="s">
        <v>42</v>
      </c>
      <c r="E140" s="21">
        <v>2.0</v>
      </c>
      <c r="F140" s="22" t="s">
        <v>83</v>
      </c>
      <c r="G140" s="23" t="s">
        <v>18</v>
      </c>
      <c r="H140" s="24" t="s">
        <v>12</v>
      </c>
      <c r="I140" s="25">
        <f>IFERROR(VLOOKUP(VALUE(B140), 'คำนวณ '!A:U, 21, FALSE), "")</f>
        <v>1</v>
      </c>
      <c r="J140" s="26">
        <f>IFERROR(VLOOKUP(VALUE(B140), 'คำนวณ '!A:V, 22, FALSE), "")</f>
        <v>1</v>
      </c>
      <c r="K140" s="27" t="s">
        <v>19</v>
      </c>
      <c r="U140" s="26"/>
      <c r="X140" s="26"/>
    </row>
    <row r="141" ht="15.0" customHeight="1">
      <c r="A141" s="11">
        <v>114.0</v>
      </c>
      <c r="B141" s="18" t="s">
        <v>333</v>
      </c>
      <c r="C141" s="36" t="s">
        <v>334</v>
      </c>
      <c r="D141" s="20" t="s">
        <v>42</v>
      </c>
      <c r="E141" s="21">
        <v>2.0</v>
      </c>
      <c r="F141" s="22" t="s">
        <v>83</v>
      </c>
      <c r="G141" s="23" t="s">
        <v>18</v>
      </c>
      <c r="H141" s="24" t="s">
        <v>12</v>
      </c>
      <c r="I141" s="25">
        <f>IFERROR(VLOOKUP(VALUE(B141), 'คำนวณ '!A:U, 21, FALSE), "")</f>
        <v>1</v>
      </c>
      <c r="J141" s="26">
        <f>IFERROR(VLOOKUP(VALUE(B141), 'คำนวณ '!A:V, 22, FALSE), "")</f>
        <v>1</v>
      </c>
      <c r="K141" s="27" t="s">
        <v>19</v>
      </c>
      <c r="U141" s="26"/>
      <c r="X141" s="26"/>
    </row>
    <row r="142" ht="15.0" customHeight="1">
      <c r="A142" s="11">
        <v>114.0</v>
      </c>
      <c r="B142" s="18" t="s">
        <v>335</v>
      </c>
      <c r="C142" s="36" t="s">
        <v>336</v>
      </c>
      <c r="D142" s="20" t="s">
        <v>42</v>
      </c>
      <c r="E142" s="21">
        <v>2.0</v>
      </c>
      <c r="F142" s="22" t="s">
        <v>83</v>
      </c>
      <c r="G142" s="23" t="s">
        <v>18</v>
      </c>
      <c r="H142" s="24" t="s">
        <v>12</v>
      </c>
      <c r="I142" s="25">
        <f>IFERROR(VLOOKUP(VALUE(B142), 'คำนวณ '!A:U, 21, FALSE), "")</f>
        <v>1</v>
      </c>
      <c r="J142" s="26">
        <f>IFERROR(VLOOKUP(VALUE(B142), 'คำนวณ '!A:V, 22, FALSE), "")</f>
        <v>1</v>
      </c>
      <c r="K142" s="27" t="s">
        <v>19</v>
      </c>
      <c r="U142" s="26"/>
      <c r="X142" s="26"/>
    </row>
    <row r="143" ht="15.0" customHeight="1">
      <c r="A143" s="11">
        <v>114.0</v>
      </c>
      <c r="B143" s="18" t="s">
        <v>337</v>
      </c>
      <c r="C143" s="36" t="s">
        <v>338</v>
      </c>
      <c r="D143" s="39"/>
      <c r="E143" s="40"/>
      <c r="F143" s="41"/>
      <c r="G143" s="23" t="s">
        <v>18</v>
      </c>
      <c r="H143" s="42"/>
      <c r="I143" s="25" t="str">
        <f>IFERROR(VLOOKUP(VALUE(B143), 'คำนวณ '!A:U, 21, FALSE), "")</f>
        <v/>
      </c>
      <c r="J143" s="26" t="str">
        <f>IFERROR(VLOOKUP(VALUE(B143), 'คำนวณ '!A:V, 22, FALSE), "")</f>
        <v/>
      </c>
      <c r="K143" s="27" t="s">
        <v>19</v>
      </c>
      <c r="U143" s="26"/>
      <c r="X143" s="26"/>
    </row>
    <row r="144" ht="15.0" customHeight="1">
      <c r="A144" s="11">
        <v>114.0</v>
      </c>
      <c r="B144" s="18" t="s">
        <v>339</v>
      </c>
      <c r="C144" s="36" t="s">
        <v>340</v>
      </c>
      <c r="D144" s="20" t="s">
        <v>42</v>
      </c>
      <c r="E144" s="21">
        <v>2.0</v>
      </c>
      <c r="F144" s="22" t="s">
        <v>83</v>
      </c>
      <c r="G144" s="23" t="s">
        <v>18</v>
      </c>
      <c r="H144" s="24" t="s">
        <v>12</v>
      </c>
      <c r="I144" s="25">
        <f>IFERROR(VLOOKUP(VALUE(B144), 'คำนวณ '!A:U, 21, FALSE), "")</f>
        <v>1</v>
      </c>
      <c r="J144" s="26">
        <f>IFERROR(VLOOKUP(VALUE(B144), 'คำนวณ '!A:V, 22, FALSE), "")</f>
        <v>1</v>
      </c>
      <c r="K144" s="27" t="s">
        <v>19</v>
      </c>
      <c r="U144" s="26"/>
      <c r="X144" s="26"/>
    </row>
    <row r="145" ht="15.0" customHeight="1">
      <c r="A145" s="11">
        <v>114.0</v>
      </c>
      <c r="B145" s="18" t="s">
        <v>341</v>
      </c>
      <c r="C145" s="36" t="s">
        <v>342</v>
      </c>
      <c r="D145" s="20" t="s">
        <v>42</v>
      </c>
      <c r="E145" s="21">
        <v>2.0</v>
      </c>
      <c r="F145" s="22" t="s">
        <v>83</v>
      </c>
      <c r="G145" s="23" t="s">
        <v>18</v>
      </c>
      <c r="H145" s="24" t="s">
        <v>12</v>
      </c>
      <c r="I145" s="25">
        <f>IFERROR(VLOOKUP(VALUE(B145), 'คำนวณ '!A:U, 21, FALSE), "")</f>
        <v>1</v>
      </c>
      <c r="J145" s="26">
        <f>IFERROR(VLOOKUP(VALUE(B145), 'คำนวณ '!A:V, 22, FALSE), "")</f>
        <v>1</v>
      </c>
      <c r="K145" s="27" t="s">
        <v>19</v>
      </c>
      <c r="U145" s="26"/>
      <c r="X145" s="26"/>
    </row>
    <row r="146" ht="15.0" customHeight="1">
      <c r="A146" s="11">
        <v>114.0</v>
      </c>
      <c r="B146" s="18" t="s">
        <v>343</v>
      </c>
      <c r="C146" s="36" t="s">
        <v>344</v>
      </c>
      <c r="D146" s="20" t="s">
        <v>42</v>
      </c>
      <c r="E146" s="21">
        <v>2.0</v>
      </c>
      <c r="F146" s="22" t="s">
        <v>83</v>
      </c>
      <c r="G146" s="23" t="s">
        <v>18</v>
      </c>
      <c r="H146" s="24" t="s">
        <v>12</v>
      </c>
      <c r="I146" s="25">
        <f>IFERROR(VLOOKUP(VALUE(B146), 'คำนวณ '!A:U, 21, FALSE), "")</f>
        <v>1</v>
      </c>
      <c r="J146" s="26">
        <f>IFERROR(VLOOKUP(VALUE(B146), 'คำนวณ '!A:V, 22, FALSE), "")</f>
        <v>1</v>
      </c>
      <c r="K146" s="27" t="s">
        <v>19</v>
      </c>
      <c r="U146" s="26"/>
      <c r="X146" s="26"/>
    </row>
    <row r="147" ht="15.0" customHeight="1">
      <c r="A147" s="11">
        <v>114.0</v>
      </c>
      <c r="B147" s="18" t="s">
        <v>345</v>
      </c>
      <c r="C147" s="36" t="s">
        <v>346</v>
      </c>
      <c r="D147" s="20" t="s">
        <v>42</v>
      </c>
      <c r="E147" s="21">
        <v>2.0</v>
      </c>
      <c r="F147" s="22" t="s">
        <v>83</v>
      </c>
      <c r="G147" s="23" t="s">
        <v>18</v>
      </c>
      <c r="H147" s="24" t="s">
        <v>12</v>
      </c>
      <c r="I147" s="25">
        <f>IFERROR(VLOOKUP(VALUE(B147), 'คำนวณ '!A:U, 21, FALSE), "")</f>
        <v>1</v>
      </c>
      <c r="J147" s="26">
        <f>IFERROR(VLOOKUP(VALUE(B147), 'คำนวณ '!A:V, 22, FALSE), "")</f>
        <v>1</v>
      </c>
      <c r="K147" s="27" t="s">
        <v>19</v>
      </c>
      <c r="U147" s="26"/>
      <c r="X147" s="26"/>
    </row>
    <row r="148" ht="15.0" customHeight="1">
      <c r="A148" s="11">
        <v>114.0</v>
      </c>
      <c r="B148" s="18" t="s">
        <v>347</v>
      </c>
      <c r="C148" s="36" t="s">
        <v>348</v>
      </c>
      <c r="D148" s="20" t="s">
        <v>42</v>
      </c>
      <c r="E148" s="21">
        <v>2.0</v>
      </c>
      <c r="F148" s="22" t="s">
        <v>83</v>
      </c>
      <c r="G148" s="23" t="s">
        <v>18</v>
      </c>
      <c r="H148" s="24" t="s">
        <v>12</v>
      </c>
      <c r="I148" s="25">
        <f>IFERROR(VLOOKUP(VALUE(B148), 'คำนวณ '!A:U, 21, FALSE), "")</f>
        <v>1</v>
      </c>
      <c r="J148" s="26">
        <f>IFERROR(VLOOKUP(VALUE(B148), 'คำนวณ '!A:V, 22, FALSE), "")</f>
        <v>1</v>
      </c>
      <c r="K148" s="27" t="s">
        <v>19</v>
      </c>
      <c r="U148" s="26"/>
      <c r="X148" s="26"/>
    </row>
    <row r="149" ht="15.0" customHeight="1">
      <c r="A149" s="11">
        <v>114.0</v>
      </c>
      <c r="B149" s="18" t="s">
        <v>349</v>
      </c>
      <c r="C149" s="36" t="s">
        <v>350</v>
      </c>
      <c r="D149" s="20" t="s">
        <v>42</v>
      </c>
      <c r="E149" s="21">
        <v>2.0</v>
      </c>
      <c r="F149" s="22" t="s">
        <v>83</v>
      </c>
      <c r="G149" s="23" t="s">
        <v>18</v>
      </c>
      <c r="H149" s="24" t="s">
        <v>12</v>
      </c>
      <c r="I149" s="25">
        <f>IFERROR(VLOOKUP(VALUE(B149), 'คำนวณ '!A:U, 21, FALSE), "")</f>
        <v>1</v>
      </c>
      <c r="J149" s="26">
        <f>IFERROR(VLOOKUP(VALUE(B149), 'คำนวณ '!A:V, 22, FALSE), "")</f>
        <v>1</v>
      </c>
      <c r="K149" s="27" t="s">
        <v>19</v>
      </c>
      <c r="U149" s="26"/>
      <c r="X149" s="26"/>
    </row>
    <row r="150" ht="15.0" customHeight="1">
      <c r="A150" s="11">
        <v>114.0</v>
      </c>
      <c r="B150" s="18" t="s">
        <v>351</v>
      </c>
      <c r="C150" s="36" t="s">
        <v>352</v>
      </c>
      <c r="D150" s="20" t="s">
        <v>42</v>
      </c>
      <c r="E150" s="21">
        <v>2.0</v>
      </c>
      <c r="F150" s="22" t="s">
        <v>83</v>
      </c>
      <c r="G150" s="23" t="s">
        <v>18</v>
      </c>
      <c r="H150" s="24" t="s">
        <v>12</v>
      </c>
      <c r="I150" s="25">
        <f>IFERROR(VLOOKUP(VALUE(B150), 'คำนวณ '!A:U, 21, FALSE), "")</f>
        <v>1</v>
      </c>
      <c r="J150" s="26">
        <f>IFERROR(VLOOKUP(VALUE(B150), 'คำนวณ '!A:V, 22, FALSE), "")</f>
        <v>1</v>
      </c>
      <c r="K150" s="27" t="s">
        <v>19</v>
      </c>
      <c r="U150" s="26"/>
      <c r="X150" s="26"/>
    </row>
    <row r="151" ht="15.0" customHeight="1">
      <c r="A151" s="11">
        <v>114.0</v>
      </c>
      <c r="B151" s="18" t="s">
        <v>353</v>
      </c>
      <c r="C151" s="36" t="s">
        <v>354</v>
      </c>
      <c r="D151" s="20" t="s">
        <v>42</v>
      </c>
      <c r="E151" s="21">
        <v>2.0</v>
      </c>
      <c r="F151" s="22" t="s">
        <v>83</v>
      </c>
      <c r="G151" s="23" t="s">
        <v>18</v>
      </c>
      <c r="H151" s="24" t="s">
        <v>12</v>
      </c>
      <c r="I151" s="25">
        <f>IFERROR(VLOOKUP(VALUE(B151), 'คำนวณ '!A:U, 21, FALSE), "")</f>
        <v>1</v>
      </c>
      <c r="J151" s="26">
        <f>IFERROR(VLOOKUP(VALUE(B151), 'คำนวณ '!A:V, 22, FALSE), "")</f>
        <v>1</v>
      </c>
      <c r="K151" s="27" t="s">
        <v>19</v>
      </c>
      <c r="U151" s="26"/>
      <c r="X151" s="26"/>
    </row>
    <row r="152" ht="15.0" customHeight="1">
      <c r="A152" s="11">
        <v>114.0</v>
      </c>
      <c r="B152" s="18" t="s">
        <v>355</v>
      </c>
      <c r="C152" s="36" t="s">
        <v>356</v>
      </c>
      <c r="D152" s="20" t="s">
        <v>42</v>
      </c>
      <c r="E152" s="21">
        <v>2.0</v>
      </c>
      <c r="F152" s="22" t="s">
        <v>83</v>
      </c>
      <c r="G152" s="23" t="s">
        <v>18</v>
      </c>
      <c r="H152" s="24" t="s">
        <v>12</v>
      </c>
      <c r="I152" s="25" t="str">
        <f>IFERROR(VLOOKUP(VALUE(B152), 'คำนวณ '!A:U, 21, FALSE), "")</f>
        <v/>
      </c>
      <c r="J152" s="26" t="str">
        <f>IFERROR(VLOOKUP(VALUE(B152), 'คำนวณ '!A:V, 22, FALSE), "")</f>
        <v/>
      </c>
      <c r="K152" s="27" t="s">
        <v>19</v>
      </c>
      <c r="U152" s="26"/>
      <c r="X152" s="26"/>
    </row>
    <row r="153" ht="15.0" customHeight="1">
      <c r="A153" s="11">
        <v>114.0</v>
      </c>
      <c r="B153" s="18" t="s">
        <v>357</v>
      </c>
      <c r="C153" s="36" t="s">
        <v>358</v>
      </c>
      <c r="D153" s="20" t="s">
        <v>42</v>
      </c>
      <c r="E153" s="21">
        <v>4.0</v>
      </c>
      <c r="F153" s="22" t="s">
        <v>38</v>
      </c>
      <c r="G153" s="23" t="s">
        <v>18</v>
      </c>
      <c r="H153" s="24" t="s">
        <v>12</v>
      </c>
      <c r="I153" s="25">
        <f>IFERROR(VLOOKUP(VALUE(B153), 'คำนวณ '!A:U, 21, FALSE), "")</f>
        <v>1</v>
      </c>
      <c r="J153" s="26">
        <f>IFERROR(VLOOKUP(VALUE(B153), 'คำนวณ '!A:V, 22, FALSE), "")</f>
        <v>1</v>
      </c>
      <c r="K153" s="27" t="s">
        <v>19</v>
      </c>
      <c r="U153" s="26"/>
      <c r="X153" s="26"/>
    </row>
    <row r="154" ht="15.0" customHeight="1">
      <c r="A154" s="11">
        <v>114.0</v>
      </c>
      <c r="B154" s="18" t="s">
        <v>359</v>
      </c>
      <c r="C154" s="36" t="s">
        <v>360</v>
      </c>
      <c r="D154" s="20" t="s">
        <v>42</v>
      </c>
      <c r="E154" s="21">
        <v>2.0</v>
      </c>
      <c r="F154" s="22" t="s">
        <v>83</v>
      </c>
      <c r="G154" s="23" t="s">
        <v>18</v>
      </c>
      <c r="H154" s="24" t="s">
        <v>12</v>
      </c>
      <c r="I154" s="25">
        <f>IFERROR(VLOOKUP(VALUE(B154), 'คำนวณ '!A:U, 21, FALSE), "")</f>
        <v>1</v>
      </c>
      <c r="J154" s="26">
        <f>IFERROR(VLOOKUP(VALUE(B154), 'คำนวณ '!A:V, 22, FALSE), "")</f>
        <v>1</v>
      </c>
      <c r="K154" s="27" t="s">
        <v>19</v>
      </c>
      <c r="U154" s="26"/>
      <c r="X154" s="26"/>
    </row>
    <row r="155" ht="15.0" customHeight="1">
      <c r="A155" s="11">
        <v>114.0</v>
      </c>
      <c r="B155" s="18" t="s">
        <v>361</v>
      </c>
      <c r="C155" s="36" t="s">
        <v>362</v>
      </c>
      <c r="D155" s="20" t="s">
        <v>42</v>
      </c>
      <c r="E155" s="21">
        <v>2.0</v>
      </c>
      <c r="F155" s="22" t="s">
        <v>83</v>
      </c>
      <c r="G155" s="23" t="s">
        <v>18</v>
      </c>
      <c r="H155" s="24" t="s">
        <v>12</v>
      </c>
      <c r="I155" s="25">
        <f>IFERROR(VLOOKUP(VALUE(B155), 'คำนวณ '!A:U, 21, FALSE), "")</f>
        <v>1</v>
      </c>
      <c r="J155" s="26">
        <f>IFERROR(VLOOKUP(VALUE(B155), 'คำนวณ '!A:V, 22, FALSE), "")</f>
        <v>1</v>
      </c>
      <c r="K155" s="27" t="s">
        <v>19</v>
      </c>
      <c r="U155" s="26"/>
      <c r="X155" s="26"/>
    </row>
    <row r="156" ht="15.0" customHeight="1">
      <c r="A156" s="11">
        <v>114.0</v>
      </c>
      <c r="B156" s="18" t="s">
        <v>363</v>
      </c>
      <c r="C156" s="36" t="s">
        <v>364</v>
      </c>
      <c r="D156" s="20" t="s">
        <v>42</v>
      </c>
      <c r="E156" s="21">
        <v>2.0</v>
      </c>
      <c r="F156" s="22" t="s">
        <v>83</v>
      </c>
      <c r="G156" s="23" t="s">
        <v>18</v>
      </c>
      <c r="H156" s="24" t="s">
        <v>12</v>
      </c>
      <c r="I156" s="25" t="str">
        <f>IFERROR(VLOOKUP(VALUE(B156), 'คำนวณ '!A:U, 21, FALSE), "")</f>
        <v/>
      </c>
      <c r="J156" s="26" t="str">
        <f>IFERROR(VLOOKUP(VALUE(B156), 'คำนวณ '!A:V, 22, FALSE), "")</f>
        <v/>
      </c>
      <c r="K156" s="27" t="s">
        <v>19</v>
      </c>
      <c r="U156" s="26"/>
      <c r="X156" s="26"/>
    </row>
    <row r="157" ht="15.0" customHeight="1">
      <c r="A157" s="11">
        <v>114.0</v>
      </c>
      <c r="B157" s="18" t="s">
        <v>365</v>
      </c>
      <c r="C157" s="36" t="s">
        <v>366</v>
      </c>
      <c r="D157" s="20" t="s">
        <v>42</v>
      </c>
      <c r="E157" s="21">
        <v>2.0</v>
      </c>
      <c r="F157" s="22" t="s">
        <v>83</v>
      </c>
      <c r="G157" s="23" t="s">
        <v>18</v>
      </c>
      <c r="H157" s="24" t="s">
        <v>12</v>
      </c>
      <c r="I157" s="25" t="str">
        <f>IFERROR(VLOOKUP(VALUE(B157), 'คำนวณ '!A:U, 21, FALSE), "")</f>
        <v/>
      </c>
      <c r="J157" s="26" t="str">
        <f>IFERROR(VLOOKUP(VALUE(B157), 'คำนวณ '!A:V, 22, FALSE), "")</f>
        <v/>
      </c>
      <c r="K157" s="27" t="s">
        <v>19</v>
      </c>
      <c r="U157" s="26"/>
      <c r="X157" s="26"/>
    </row>
    <row r="158" ht="15.0" customHeight="1">
      <c r="A158" s="11">
        <v>114.0</v>
      </c>
      <c r="B158" s="18" t="s">
        <v>367</v>
      </c>
      <c r="C158" s="36" t="s">
        <v>368</v>
      </c>
      <c r="D158" s="20" t="s">
        <v>42</v>
      </c>
      <c r="E158" s="21">
        <v>2.0</v>
      </c>
      <c r="F158" s="22" t="s">
        <v>83</v>
      </c>
      <c r="G158" s="23" t="s">
        <v>18</v>
      </c>
      <c r="H158" s="24" t="s">
        <v>12</v>
      </c>
      <c r="I158" s="25">
        <f>IFERROR(VLOOKUP(VALUE(B158), 'คำนวณ '!A:U, 21, FALSE), "")</f>
        <v>1</v>
      </c>
      <c r="J158" s="26">
        <f>IFERROR(VLOOKUP(VALUE(B158), 'คำนวณ '!A:V, 22, FALSE), "")</f>
        <v>1</v>
      </c>
      <c r="K158" s="27" t="s">
        <v>19</v>
      </c>
      <c r="U158" s="26"/>
      <c r="X158" s="26"/>
    </row>
    <row r="159" ht="15.0" customHeight="1">
      <c r="A159" s="11">
        <v>114.0</v>
      </c>
      <c r="B159" s="18" t="s">
        <v>369</v>
      </c>
      <c r="C159" s="36" t="s">
        <v>370</v>
      </c>
      <c r="D159" s="39"/>
      <c r="E159" s="40"/>
      <c r="F159" s="41"/>
      <c r="G159" s="23" t="s">
        <v>20</v>
      </c>
      <c r="H159" s="42"/>
      <c r="I159" s="25" t="str">
        <f>IFERROR(VLOOKUP(VALUE(B159), 'คำนวณ '!A:U, 21, FALSE), "")</f>
        <v/>
      </c>
      <c r="J159" s="26" t="str">
        <f>IFERROR(VLOOKUP(VALUE(B159), 'คำนวณ '!A:V, 22, FALSE), "")</f>
        <v/>
      </c>
      <c r="K159" s="27" t="s">
        <v>19</v>
      </c>
      <c r="U159" s="26"/>
      <c r="X159" s="26"/>
    </row>
    <row r="160" ht="15.0" customHeight="1">
      <c r="A160" s="11">
        <v>114.0</v>
      </c>
      <c r="B160" s="18" t="s">
        <v>371</v>
      </c>
      <c r="C160" s="36" t="s">
        <v>372</v>
      </c>
      <c r="D160" s="20" t="s">
        <v>42</v>
      </c>
      <c r="E160" s="21">
        <v>4.0</v>
      </c>
      <c r="F160" s="22" t="s">
        <v>38</v>
      </c>
      <c r="G160" s="23" t="s">
        <v>20</v>
      </c>
      <c r="H160" s="24" t="s">
        <v>11</v>
      </c>
      <c r="I160" s="25">
        <f>IFERROR(VLOOKUP(VALUE(B160), 'คำนวณ '!A:U, 21, FALSE), "")</f>
        <v>1</v>
      </c>
      <c r="J160" s="26">
        <f>IFERROR(VLOOKUP(VALUE(B160), 'คำนวณ '!A:V, 22, FALSE), "")</f>
        <v>1</v>
      </c>
      <c r="K160" s="47" t="s">
        <v>10</v>
      </c>
      <c r="U160" s="26"/>
      <c r="X160" s="26"/>
    </row>
    <row r="161" ht="15.0" customHeight="1">
      <c r="A161" s="11">
        <v>114.0</v>
      </c>
      <c r="B161" s="18" t="s">
        <v>373</v>
      </c>
      <c r="C161" s="36" t="s">
        <v>374</v>
      </c>
      <c r="D161" s="39"/>
      <c r="E161" s="40"/>
      <c r="F161" s="41"/>
      <c r="G161" s="23" t="s">
        <v>20</v>
      </c>
      <c r="H161" s="42"/>
      <c r="I161" s="25" t="str">
        <f>IFERROR(VLOOKUP(VALUE(B161), 'คำนวณ '!A:U, 21, FALSE), "")</f>
        <v/>
      </c>
      <c r="J161" s="26" t="str">
        <f>IFERROR(VLOOKUP(VALUE(B161), 'คำนวณ '!A:V, 22, FALSE), "")</f>
        <v/>
      </c>
      <c r="K161" s="27" t="s">
        <v>19</v>
      </c>
      <c r="U161" s="26"/>
      <c r="X161" s="26"/>
    </row>
    <row r="162" ht="15.0" customHeight="1">
      <c r="A162" s="11">
        <v>114.0</v>
      </c>
      <c r="B162" s="18" t="s">
        <v>375</v>
      </c>
      <c r="C162" s="36" t="s">
        <v>312</v>
      </c>
      <c r="D162" s="20" t="s">
        <v>42</v>
      </c>
      <c r="E162" s="21">
        <v>4.0</v>
      </c>
      <c r="F162" s="22" t="s">
        <v>38</v>
      </c>
      <c r="G162" s="23" t="s">
        <v>18</v>
      </c>
      <c r="H162" s="24" t="s">
        <v>12</v>
      </c>
      <c r="I162" s="25">
        <f>IFERROR(VLOOKUP(VALUE(B162), 'คำนวณ '!A:U, 21, FALSE), "")</f>
        <v>1</v>
      </c>
      <c r="J162" s="26">
        <f>IFERROR(VLOOKUP(VALUE(B162), 'คำนวณ '!A:V, 22, FALSE), "")</f>
        <v>1</v>
      </c>
      <c r="K162" s="27" t="s">
        <v>19</v>
      </c>
      <c r="U162" s="26"/>
      <c r="X162" s="26"/>
    </row>
    <row r="163" ht="15.0" customHeight="1">
      <c r="A163" s="11">
        <v>115.0</v>
      </c>
      <c r="B163" s="18" t="s">
        <v>376</v>
      </c>
      <c r="C163" s="36" t="s">
        <v>377</v>
      </c>
      <c r="D163" s="39"/>
      <c r="E163" s="40"/>
      <c r="F163" s="41"/>
      <c r="G163" s="23" t="s">
        <v>20</v>
      </c>
      <c r="H163" s="42"/>
      <c r="I163" s="25" t="str">
        <f>IFERROR(VLOOKUP(VALUE(B163), 'คำนวณ '!A:U, 21, FALSE), "")</f>
        <v/>
      </c>
      <c r="J163" s="26" t="str">
        <f>IFERROR(VLOOKUP(VALUE(B163), 'คำนวณ '!A:V, 22, FALSE), "")</f>
        <v/>
      </c>
      <c r="K163" s="27" t="s">
        <v>19</v>
      </c>
      <c r="U163" s="26"/>
      <c r="X163" s="26"/>
    </row>
    <row r="164" ht="15.0" customHeight="1">
      <c r="A164" s="11">
        <v>115.0</v>
      </c>
      <c r="B164" s="18" t="s">
        <v>378</v>
      </c>
      <c r="C164" s="36" t="s">
        <v>379</v>
      </c>
      <c r="D164" s="39"/>
      <c r="E164" s="40"/>
      <c r="F164" s="41"/>
      <c r="G164" s="23" t="s">
        <v>20</v>
      </c>
      <c r="H164" s="42"/>
      <c r="I164" s="25" t="str">
        <f>IFERROR(VLOOKUP(VALUE(B164), 'คำนวณ '!A:U, 21, FALSE), "")</f>
        <v/>
      </c>
      <c r="J164" s="26" t="str">
        <f>IFERROR(VLOOKUP(VALUE(B164), 'คำนวณ '!A:V, 22, FALSE), "")</f>
        <v/>
      </c>
      <c r="K164" s="27" t="s">
        <v>19</v>
      </c>
      <c r="U164" s="26"/>
      <c r="X164" s="26"/>
    </row>
    <row r="165" ht="15.0" customHeight="1">
      <c r="A165" s="11">
        <v>115.0</v>
      </c>
      <c r="B165" s="18" t="s">
        <v>380</v>
      </c>
      <c r="C165" s="36" t="s">
        <v>381</v>
      </c>
      <c r="D165" s="39"/>
      <c r="E165" s="40"/>
      <c r="F165" s="41"/>
      <c r="G165" s="23" t="s">
        <v>20</v>
      </c>
      <c r="H165" s="42"/>
      <c r="I165" s="25" t="str">
        <f>IFERROR(VLOOKUP(VALUE(B165), 'คำนวณ '!A:U, 21, FALSE), "")</f>
        <v/>
      </c>
      <c r="J165" s="26" t="str">
        <f>IFERROR(VLOOKUP(VALUE(B165), 'คำนวณ '!A:V, 22, FALSE), "")</f>
        <v/>
      </c>
      <c r="K165" s="27" t="s">
        <v>19</v>
      </c>
      <c r="U165" s="26"/>
      <c r="X165" s="26"/>
    </row>
    <row r="166" ht="15.0" customHeight="1">
      <c r="A166" s="11">
        <v>115.0</v>
      </c>
      <c r="B166" s="18" t="s">
        <v>382</v>
      </c>
      <c r="C166" s="36" t="s">
        <v>383</v>
      </c>
      <c r="D166" s="39"/>
      <c r="E166" s="40"/>
      <c r="F166" s="41"/>
      <c r="G166" s="23" t="s">
        <v>20</v>
      </c>
      <c r="H166" s="42"/>
      <c r="I166" s="25" t="str">
        <f>IFERROR(VLOOKUP(VALUE(B166), 'คำนวณ '!A:U, 21, FALSE), "")</f>
        <v/>
      </c>
      <c r="J166" s="26" t="str">
        <f>IFERROR(VLOOKUP(VALUE(B166), 'คำนวณ '!A:V, 22, FALSE), "")</f>
        <v/>
      </c>
      <c r="K166" s="27" t="s">
        <v>19</v>
      </c>
      <c r="U166" s="26"/>
      <c r="X166" s="26"/>
    </row>
    <row r="167" ht="15.0" customHeight="1">
      <c r="A167" s="11">
        <v>115.0</v>
      </c>
      <c r="B167" s="18" t="s">
        <v>384</v>
      </c>
      <c r="C167" s="36" t="s">
        <v>385</v>
      </c>
      <c r="D167" s="39"/>
      <c r="E167" s="40"/>
      <c r="F167" s="41"/>
      <c r="G167" s="23" t="s">
        <v>20</v>
      </c>
      <c r="H167" s="42"/>
      <c r="I167" s="25" t="str">
        <f>IFERROR(VLOOKUP(VALUE(B167), 'คำนวณ '!A:U, 21, FALSE), "")</f>
        <v/>
      </c>
      <c r="J167" s="26" t="str">
        <f>IFERROR(VLOOKUP(VALUE(B167), 'คำนวณ '!A:V, 22, FALSE), "")</f>
        <v/>
      </c>
      <c r="K167" s="27" t="s">
        <v>19</v>
      </c>
      <c r="U167" s="26"/>
      <c r="X167" s="26"/>
    </row>
    <row r="168" ht="15.0" customHeight="1">
      <c r="A168" s="11">
        <v>115.0</v>
      </c>
      <c r="B168" s="18" t="s">
        <v>386</v>
      </c>
      <c r="C168" s="36" t="s">
        <v>387</v>
      </c>
      <c r="D168" s="39"/>
      <c r="E168" s="40"/>
      <c r="F168" s="41"/>
      <c r="G168" s="23" t="s">
        <v>20</v>
      </c>
      <c r="H168" s="42"/>
      <c r="I168" s="25" t="str">
        <f>IFERROR(VLOOKUP(VALUE(B168), 'คำนวณ '!A:U, 21, FALSE), "")</f>
        <v/>
      </c>
      <c r="J168" s="26" t="str">
        <f>IFERROR(VLOOKUP(VALUE(B168), 'คำนวณ '!A:V, 22, FALSE), "")</f>
        <v/>
      </c>
      <c r="K168" s="27" t="s">
        <v>19</v>
      </c>
      <c r="U168" s="26"/>
      <c r="X168" s="26"/>
    </row>
    <row r="169" ht="15.0" customHeight="1">
      <c r="A169" s="11">
        <v>115.0</v>
      </c>
      <c r="B169" s="18" t="s">
        <v>388</v>
      </c>
      <c r="C169" s="36" t="s">
        <v>389</v>
      </c>
      <c r="D169" s="39"/>
      <c r="E169" s="40"/>
      <c r="F169" s="41"/>
      <c r="G169" s="23" t="s">
        <v>20</v>
      </c>
      <c r="H169" s="42"/>
      <c r="I169" s="25" t="str">
        <f>IFERROR(VLOOKUP(VALUE(B169), 'คำนวณ '!A:U, 21, FALSE), "")</f>
        <v/>
      </c>
      <c r="J169" s="26" t="str">
        <f>IFERROR(VLOOKUP(VALUE(B169), 'คำนวณ '!A:V, 22, FALSE), "")</f>
        <v/>
      </c>
      <c r="K169" s="27" t="s">
        <v>19</v>
      </c>
      <c r="U169" s="26"/>
      <c r="X169" s="26"/>
    </row>
    <row r="170" ht="15.0" customHeight="1">
      <c r="A170" s="11">
        <v>115.0</v>
      </c>
      <c r="B170" s="18" t="s">
        <v>390</v>
      </c>
      <c r="C170" s="36" t="s">
        <v>391</v>
      </c>
      <c r="D170" s="39"/>
      <c r="E170" s="40"/>
      <c r="F170" s="41"/>
      <c r="G170" s="23" t="s">
        <v>20</v>
      </c>
      <c r="H170" s="42"/>
      <c r="I170" s="25" t="str">
        <f>IFERROR(VLOOKUP(VALUE(B170), 'คำนวณ '!A:U, 21, FALSE), "")</f>
        <v/>
      </c>
      <c r="J170" s="26" t="str">
        <f>IFERROR(VLOOKUP(VALUE(B170), 'คำนวณ '!A:V, 22, FALSE), "")</f>
        <v/>
      </c>
      <c r="K170" s="27" t="s">
        <v>19</v>
      </c>
      <c r="U170" s="26"/>
      <c r="X170" s="26"/>
    </row>
    <row r="171" ht="15.0" customHeight="1">
      <c r="A171" s="11">
        <v>115.0</v>
      </c>
      <c r="B171" s="18" t="s">
        <v>392</v>
      </c>
      <c r="C171" s="36" t="s">
        <v>393</v>
      </c>
      <c r="D171" s="20" t="s">
        <v>24</v>
      </c>
      <c r="E171" s="21">
        <v>8.0</v>
      </c>
      <c r="F171" s="22" t="s">
        <v>394</v>
      </c>
      <c r="G171" s="23" t="s">
        <v>20</v>
      </c>
      <c r="H171" s="24" t="s">
        <v>11</v>
      </c>
      <c r="I171" s="25">
        <f>IFERROR(VLOOKUP(VALUE(B171), 'คำนวณ '!A:U, 21, FALSE), "")</f>
        <v>1</v>
      </c>
      <c r="J171" s="26">
        <f>IFERROR(VLOOKUP(VALUE(B171), 'คำนวณ '!A:V, 22, FALSE), "")</f>
        <v>1</v>
      </c>
      <c r="K171" s="47" t="s">
        <v>10</v>
      </c>
      <c r="U171" s="26"/>
      <c r="X171" s="26"/>
    </row>
    <row r="172" ht="15.0" customHeight="1">
      <c r="A172" s="11">
        <v>115.0</v>
      </c>
      <c r="B172" s="18" t="s">
        <v>395</v>
      </c>
      <c r="C172" s="36" t="s">
        <v>396</v>
      </c>
      <c r="D172" s="39"/>
      <c r="E172" s="40"/>
      <c r="F172" s="41"/>
      <c r="G172" s="23" t="s">
        <v>20</v>
      </c>
      <c r="H172" s="42"/>
      <c r="I172" s="25" t="str">
        <f>IFERROR(VLOOKUP(VALUE(B172), 'คำนวณ '!A:U, 21, FALSE), "")</f>
        <v/>
      </c>
      <c r="J172" s="26" t="str">
        <f>IFERROR(VLOOKUP(VALUE(B172), 'คำนวณ '!A:V, 22, FALSE), "")</f>
        <v/>
      </c>
      <c r="K172" s="27" t="s">
        <v>19</v>
      </c>
      <c r="U172" s="26"/>
      <c r="X172" s="26"/>
    </row>
    <row r="173" ht="15.0" customHeight="1">
      <c r="A173" s="11">
        <v>115.0</v>
      </c>
      <c r="B173" s="18" t="s">
        <v>397</v>
      </c>
      <c r="C173" s="36" t="s">
        <v>398</v>
      </c>
      <c r="D173" s="39"/>
      <c r="E173" s="40"/>
      <c r="F173" s="41"/>
      <c r="G173" s="23" t="s">
        <v>20</v>
      </c>
      <c r="H173" s="42"/>
      <c r="I173" s="25" t="str">
        <f>IFERROR(VLOOKUP(VALUE(B173), 'คำนวณ '!A:U, 21, FALSE), "")</f>
        <v/>
      </c>
      <c r="J173" s="26" t="str">
        <f>IFERROR(VLOOKUP(VALUE(B173), 'คำนวณ '!A:V, 22, FALSE), "")</f>
        <v/>
      </c>
      <c r="K173" s="27" t="s">
        <v>19</v>
      </c>
      <c r="U173" s="26"/>
      <c r="X173" s="26"/>
    </row>
    <row r="174" ht="15.0" customHeight="1">
      <c r="A174" s="11">
        <v>115.0</v>
      </c>
      <c r="B174" s="18" t="s">
        <v>399</v>
      </c>
      <c r="C174" s="36" t="s">
        <v>400</v>
      </c>
      <c r="D174" s="20" t="s">
        <v>24</v>
      </c>
      <c r="E174" s="21">
        <v>4.0</v>
      </c>
      <c r="F174" s="22" t="s">
        <v>38</v>
      </c>
      <c r="G174" s="23" t="s">
        <v>20</v>
      </c>
      <c r="H174" s="24" t="s">
        <v>11</v>
      </c>
      <c r="I174" s="25">
        <f>IFERROR(VLOOKUP(VALUE(B174), 'คำนวณ '!A:U, 21, FALSE), "")</f>
        <v>1</v>
      </c>
      <c r="J174" s="26">
        <f>IFERROR(VLOOKUP(VALUE(B174), 'คำนวณ '!A:V, 22, FALSE), "")</f>
        <v>1</v>
      </c>
      <c r="K174" s="47" t="s">
        <v>10</v>
      </c>
      <c r="U174" s="26"/>
      <c r="X174" s="26"/>
    </row>
    <row r="175" ht="15.0" customHeight="1">
      <c r="A175" s="11">
        <v>115.0</v>
      </c>
      <c r="B175" s="18" t="s">
        <v>401</v>
      </c>
      <c r="C175" s="36" t="s">
        <v>402</v>
      </c>
      <c r="D175" s="20" t="s">
        <v>24</v>
      </c>
      <c r="E175" s="21">
        <v>4.0</v>
      </c>
      <c r="F175" s="22" t="s">
        <v>403</v>
      </c>
      <c r="G175" s="23" t="s">
        <v>18</v>
      </c>
      <c r="H175" s="24" t="s">
        <v>11</v>
      </c>
      <c r="I175" s="25">
        <f>IFERROR(VLOOKUP(VALUE(B175), 'คำนวณ '!A:U, 21, FALSE), "")</f>
        <v>1</v>
      </c>
      <c r="J175" s="26">
        <f>IFERROR(VLOOKUP(VALUE(B175), 'คำนวณ '!A:V, 22, FALSE), "")</f>
        <v>1</v>
      </c>
      <c r="K175" s="27" t="s">
        <v>19</v>
      </c>
      <c r="U175" s="26"/>
      <c r="X175" s="26"/>
    </row>
    <row r="176" ht="15.0" customHeight="1">
      <c r="A176" s="11">
        <v>115.0</v>
      </c>
      <c r="B176" s="18" t="s">
        <v>404</v>
      </c>
      <c r="C176" s="36" t="s">
        <v>405</v>
      </c>
      <c r="D176" s="39"/>
      <c r="E176" s="40"/>
      <c r="F176" s="41"/>
      <c r="G176" s="23" t="s">
        <v>20</v>
      </c>
      <c r="H176" s="42"/>
      <c r="I176" s="25" t="str">
        <f>IFERROR(VLOOKUP(VALUE(B176), 'คำนวณ '!A:U, 21, FALSE), "")</f>
        <v/>
      </c>
      <c r="J176" s="26" t="str">
        <f>IFERROR(VLOOKUP(VALUE(B176), 'คำนวณ '!A:V, 22, FALSE), "")</f>
        <v/>
      </c>
      <c r="K176" s="27" t="s">
        <v>19</v>
      </c>
      <c r="U176" s="26"/>
      <c r="X176" s="26"/>
    </row>
    <row r="177" ht="15.0" customHeight="1">
      <c r="A177" s="11">
        <v>115.0</v>
      </c>
      <c r="B177" s="18" t="s">
        <v>406</v>
      </c>
      <c r="C177" s="36" t="s">
        <v>407</v>
      </c>
      <c r="D177" s="20" t="s">
        <v>24</v>
      </c>
      <c r="E177" s="21">
        <v>4.0</v>
      </c>
      <c r="F177" s="22" t="s">
        <v>38</v>
      </c>
      <c r="G177" s="23" t="s">
        <v>20</v>
      </c>
      <c r="H177" s="24" t="s">
        <v>11</v>
      </c>
      <c r="I177" s="25">
        <f>IFERROR(VLOOKUP(VALUE(B177), 'คำนวณ '!A:U, 21, FALSE), "")</f>
        <v>1</v>
      </c>
      <c r="J177" s="26">
        <f>IFERROR(VLOOKUP(VALUE(B177), 'คำนวณ '!A:V, 22, FALSE), "")</f>
        <v>1</v>
      </c>
      <c r="K177" s="47" t="s">
        <v>10</v>
      </c>
      <c r="U177" s="26"/>
      <c r="X177" s="26"/>
    </row>
    <row r="178" ht="15.0" customHeight="1">
      <c r="A178" s="11">
        <v>115.0</v>
      </c>
      <c r="B178" s="18" t="s">
        <v>408</v>
      </c>
      <c r="C178" s="36" t="s">
        <v>409</v>
      </c>
      <c r="D178" s="20" t="s">
        <v>24</v>
      </c>
      <c r="E178" s="21">
        <v>8.0</v>
      </c>
      <c r="F178" s="22" t="s">
        <v>410</v>
      </c>
      <c r="G178" s="23" t="s">
        <v>20</v>
      </c>
      <c r="H178" s="24" t="s">
        <v>11</v>
      </c>
      <c r="I178" s="25">
        <f>IFERROR(VLOOKUP(VALUE(B178), 'คำนวณ '!A:U, 21, FALSE), "")</f>
        <v>1</v>
      </c>
      <c r="J178" s="26">
        <f>IFERROR(VLOOKUP(VALUE(B178), 'คำนวณ '!A:V, 22, FALSE), "")</f>
        <v>1</v>
      </c>
      <c r="K178" s="47" t="s">
        <v>10</v>
      </c>
      <c r="U178" s="26"/>
      <c r="X178" s="26"/>
    </row>
    <row r="179" ht="15.0" customHeight="1">
      <c r="A179" s="11">
        <v>115.0</v>
      </c>
      <c r="B179" s="18" t="s">
        <v>411</v>
      </c>
      <c r="C179" s="36" t="s">
        <v>412</v>
      </c>
      <c r="D179" s="20" t="s">
        <v>24</v>
      </c>
      <c r="E179" s="21">
        <v>4.0</v>
      </c>
      <c r="F179" s="22" t="s">
        <v>38</v>
      </c>
      <c r="G179" s="23" t="s">
        <v>20</v>
      </c>
      <c r="H179" s="24" t="s">
        <v>11</v>
      </c>
      <c r="I179" s="25">
        <f>IFERROR(VLOOKUP(VALUE(B179), 'คำนวณ '!A:U, 21, FALSE), "")</f>
        <v>1</v>
      </c>
      <c r="J179" s="26">
        <f>IFERROR(VLOOKUP(VALUE(B179), 'คำนวณ '!A:V, 22, FALSE), "")</f>
        <v>1</v>
      </c>
      <c r="K179" s="47" t="s">
        <v>10</v>
      </c>
      <c r="U179" s="26"/>
      <c r="X179" s="26"/>
    </row>
    <row r="180" ht="15.0" customHeight="1">
      <c r="A180" s="11">
        <v>115.0</v>
      </c>
      <c r="B180" s="18" t="s">
        <v>413</v>
      </c>
      <c r="C180" s="36" t="s">
        <v>414</v>
      </c>
      <c r="D180" s="20" t="s">
        <v>24</v>
      </c>
      <c r="E180" s="21">
        <v>4.0</v>
      </c>
      <c r="F180" s="22" t="s">
        <v>38</v>
      </c>
      <c r="G180" s="23" t="s">
        <v>20</v>
      </c>
      <c r="H180" s="24" t="s">
        <v>11</v>
      </c>
      <c r="I180" s="25">
        <f>IFERROR(VLOOKUP(VALUE(B180), 'คำนวณ '!A:U, 21, FALSE), "")</f>
        <v>1</v>
      </c>
      <c r="J180" s="26">
        <f>IFERROR(VLOOKUP(VALUE(B180), 'คำนวณ '!A:V, 22, FALSE), "")</f>
        <v>1</v>
      </c>
      <c r="K180" s="47" t="s">
        <v>10</v>
      </c>
      <c r="U180" s="26"/>
      <c r="X180" s="26"/>
    </row>
    <row r="181" ht="15.0" customHeight="1">
      <c r="A181" s="11">
        <v>115.0</v>
      </c>
      <c r="B181" s="18" t="s">
        <v>415</v>
      </c>
      <c r="C181" s="36" t="s">
        <v>416</v>
      </c>
      <c r="D181" s="20" t="s">
        <v>24</v>
      </c>
      <c r="E181" s="21">
        <v>4.0</v>
      </c>
      <c r="F181" s="22" t="s">
        <v>38</v>
      </c>
      <c r="G181" s="23" t="s">
        <v>20</v>
      </c>
      <c r="H181" s="24" t="s">
        <v>11</v>
      </c>
      <c r="I181" s="25">
        <f>IFERROR(VLOOKUP(VALUE(B181), 'คำนวณ '!A:U, 21, FALSE), "")</f>
        <v>1</v>
      </c>
      <c r="J181" s="26" t="str">
        <f>IFERROR(VLOOKUP(VALUE(B181), 'คำนวณ '!A:V, 22, FALSE), "")</f>
        <v/>
      </c>
      <c r="K181" s="47" t="s">
        <v>10</v>
      </c>
      <c r="U181" s="26"/>
      <c r="X181" s="26"/>
    </row>
    <row r="182" ht="15.0" customHeight="1">
      <c r="A182" s="11">
        <v>115.0</v>
      </c>
      <c r="B182" s="18" t="s">
        <v>417</v>
      </c>
      <c r="C182" s="36" t="s">
        <v>418</v>
      </c>
      <c r="D182" s="20" t="s">
        <v>24</v>
      </c>
      <c r="E182" s="21">
        <v>4.0</v>
      </c>
      <c r="F182" s="22" t="s">
        <v>38</v>
      </c>
      <c r="G182" s="23" t="s">
        <v>20</v>
      </c>
      <c r="H182" s="24" t="s">
        <v>11</v>
      </c>
      <c r="I182" s="25">
        <f>IFERROR(VLOOKUP(VALUE(B182), 'คำนวณ '!A:U, 21, FALSE), "")</f>
        <v>1</v>
      </c>
      <c r="J182" s="26" t="str">
        <f>IFERROR(VLOOKUP(VALUE(B182), 'คำนวณ '!A:V, 22, FALSE), "")</f>
        <v/>
      </c>
      <c r="K182" s="47" t="s">
        <v>10</v>
      </c>
      <c r="U182" s="26"/>
      <c r="X182" s="26"/>
    </row>
    <row r="183" ht="15.0" customHeight="1">
      <c r="A183" s="11">
        <v>115.0</v>
      </c>
      <c r="B183" s="18" t="s">
        <v>419</v>
      </c>
      <c r="C183" s="36" t="s">
        <v>420</v>
      </c>
      <c r="D183" s="39"/>
      <c r="E183" s="40"/>
      <c r="F183" s="41"/>
      <c r="G183" s="23" t="s">
        <v>20</v>
      </c>
      <c r="H183" s="42"/>
      <c r="I183" s="25" t="str">
        <f>IFERROR(VLOOKUP(VALUE(B183), 'คำนวณ '!A:U, 21, FALSE), "")</f>
        <v/>
      </c>
      <c r="J183" s="26" t="str">
        <f>IFERROR(VLOOKUP(VALUE(B183), 'คำนวณ '!A:V, 22, FALSE), "")</f>
        <v/>
      </c>
      <c r="K183" s="27" t="s">
        <v>19</v>
      </c>
      <c r="U183" s="26"/>
      <c r="X183" s="26"/>
    </row>
    <row r="184" ht="15.0" customHeight="1">
      <c r="A184" s="11">
        <v>115.0</v>
      </c>
      <c r="B184" s="18" t="s">
        <v>421</v>
      </c>
      <c r="C184" s="36" t="s">
        <v>422</v>
      </c>
      <c r="D184" s="39"/>
      <c r="E184" s="40"/>
      <c r="F184" s="41"/>
      <c r="G184" s="23" t="s">
        <v>20</v>
      </c>
      <c r="H184" s="42"/>
      <c r="I184" s="25" t="str">
        <f>IFERROR(VLOOKUP(VALUE(B184), 'คำนวณ '!A:U, 21, FALSE), "")</f>
        <v/>
      </c>
      <c r="J184" s="26" t="str">
        <f>IFERROR(VLOOKUP(VALUE(B184), 'คำนวณ '!A:V, 22, FALSE), "")</f>
        <v/>
      </c>
      <c r="K184" s="27" t="s">
        <v>19</v>
      </c>
      <c r="U184" s="26"/>
      <c r="X184" s="26"/>
    </row>
    <row r="185" ht="15.0" customHeight="1">
      <c r="A185" s="11">
        <v>115.0</v>
      </c>
      <c r="B185" s="18" t="s">
        <v>423</v>
      </c>
      <c r="C185" s="36" t="s">
        <v>424</v>
      </c>
      <c r="D185" s="20" t="s">
        <v>24</v>
      </c>
      <c r="E185" s="21">
        <v>4.0</v>
      </c>
      <c r="F185" s="22" t="s">
        <v>38</v>
      </c>
      <c r="G185" s="23" t="s">
        <v>20</v>
      </c>
      <c r="H185" s="24" t="s">
        <v>11</v>
      </c>
      <c r="I185" s="25">
        <f>IFERROR(VLOOKUP(VALUE(B185), 'คำนวณ '!A:U, 21, FALSE), "")</f>
        <v>1</v>
      </c>
      <c r="J185" s="26">
        <f>IFERROR(VLOOKUP(VALUE(B185), 'คำนวณ '!A:V, 22, FALSE), "")</f>
        <v>1</v>
      </c>
      <c r="K185" s="47" t="s">
        <v>10</v>
      </c>
      <c r="U185" s="26"/>
      <c r="X185" s="26"/>
    </row>
    <row r="186" ht="15.0" customHeight="1">
      <c r="A186" s="11">
        <v>115.0</v>
      </c>
      <c r="B186" s="18" t="s">
        <v>425</v>
      </c>
      <c r="C186" s="36" t="s">
        <v>426</v>
      </c>
      <c r="D186" s="20" t="s">
        <v>24</v>
      </c>
      <c r="E186" s="21">
        <v>2.0</v>
      </c>
      <c r="F186" s="22" t="s">
        <v>83</v>
      </c>
      <c r="G186" s="23" t="s">
        <v>20</v>
      </c>
      <c r="H186" s="24" t="s">
        <v>11</v>
      </c>
      <c r="I186" s="25">
        <f>IFERROR(VLOOKUP(VALUE(B186), 'คำนวณ '!A:U, 21, FALSE), "")</f>
        <v>1</v>
      </c>
      <c r="J186" s="26">
        <f>IFERROR(VLOOKUP(VALUE(B186), 'คำนวณ '!A:V, 22, FALSE), "")</f>
        <v>1</v>
      </c>
      <c r="K186" s="27" t="s">
        <v>19</v>
      </c>
      <c r="U186" s="26"/>
      <c r="X186" s="26"/>
    </row>
    <row r="187" ht="15.0" customHeight="1">
      <c r="A187" s="11">
        <v>115.0</v>
      </c>
      <c r="B187" s="18" t="s">
        <v>427</v>
      </c>
      <c r="C187" s="36" t="s">
        <v>428</v>
      </c>
      <c r="D187" s="20" t="s">
        <v>24</v>
      </c>
      <c r="E187" s="21">
        <v>2.0</v>
      </c>
      <c r="F187" s="22" t="s">
        <v>83</v>
      </c>
      <c r="G187" s="23" t="s">
        <v>20</v>
      </c>
      <c r="H187" s="24" t="s">
        <v>11</v>
      </c>
      <c r="I187" s="25">
        <f>IFERROR(VLOOKUP(VALUE(B187), 'คำนวณ '!A:U, 21, FALSE), "")</f>
        <v>1</v>
      </c>
      <c r="J187" s="26">
        <f>IFERROR(VLOOKUP(VALUE(B187), 'คำนวณ '!A:V, 22, FALSE), "")</f>
        <v>1</v>
      </c>
      <c r="K187" s="47" t="s">
        <v>10</v>
      </c>
      <c r="U187" s="26"/>
      <c r="X187" s="26"/>
    </row>
    <row r="188" ht="15.0" customHeight="1">
      <c r="A188" s="11">
        <v>115.0</v>
      </c>
      <c r="B188" s="18" t="s">
        <v>429</v>
      </c>
      <c r="C188" s="36" t="s">
        <v>430</v>
      </c>
      <c r="D188" s="20" t="s">
        <v>24</v>
      </c>
      <c r="E188" s="21">
        <v>4.0</v>
      </c>
      <c r="F188" s="22" t="s">
        <v>38</v>
      </c>
      <c r="G188" s="23" t="s">
        <v>20</v>
      </c>
      <c r="H188" s="24" t="s">
        <v>11</v>
      </c>
      <c r="I188" s="25">
        <f>IFERROR(VLOOKUP(VALUE(B188), 'คำนวณ '!A:U, 21, FALSE), "")</f>
        <v>1</v>
      </c>
      <c r="J188" s="26">
        <f>IFERROR(VLOOKUP(VALUE(B188), 'คำนวณ '!A:V, 22, FALSE), "")</f>
        <v>1</v>
      </c>
      <c r="K188" s="47" t="s">
        <v>10</v>
      </c>
      <c r="U188" s="26"/>
      <c r="X188" s="26"/>
    </row>
    <row r="189" ht="15.0" customHeight="1">
      <c r="A189" s="11">
        <v>115.0</v>
      </c>
      <c r="B189" s="18" t="s">
        <v>431</v>
      </c>
      <c r="C189" s="36" t="s">
        <v>432</v>
      </c>
      <c r="D189" s="20" t="s">
        <v>24</v>
      </c>
      <c r="E189" s="21">
        <v>6.0</v>
      </c>
      <c r="F189" s="22" t="s">
        <v>433</v>
      </c>
      <c r="G189" s="23" t="s">
        <v>20</v>
      </c>
      <c r="H189" s="24" t="s">
        <v>11</v>
      </c>
      <c r="I189" s="25">
        <f>IFERROR(VLOOKUP(VALUE(B189), 'คำนวณ '!A:U, 21, FALSE), "")</f>
        <v>1</v>
      </c>
      <c r="J189" s="26">
        <f>IFERROR(VLOOKUP(VALUE(B189), 'คำนวณ '!A:V, 22, FALSE), "")</f>
        <v>1</v>
      </c>
      <c r="K189" s="47" t="s">
        <v>10</v>
      </c>
      <c r="U189" s="26"/>
      <c r="X189" s="26"/>
    </row>
    <row r="190" ht="15.0" customHeight="1">
      <c r="A190" s="11">
        <v>115.0</v>
      </c>
      <c r="B190" s="18" t="s">
        <v>434</v>
      </c>
      <c r="C190" s="36" t="s">
        <v>435</v>
      </c>
      <c r="D190" s="39"/>
      <c r="E190" s="40"/>
      <c r="F190" s="41"/>
      <c r="G190" s="23" t="s">
        <v>20</v>
      </c>
      <c r="H190" s="42"/>
      <c r="I190" s="25" t="str">
        <f>IFERROR(VLOOKUP(VALUE(B190), 'คำนวณ '!A:U, 21, FALSE), "")</f>
        <v/>
      </c>
      <c r="J190" s="26" t="str">
        <f>IFERROR(VLOOKUP(VALUE(B190), 'คำนวณ '!A:V, 22, FALSE), "")</f>
        <v/>
      </c>
      <c r="K190" s="27" t="s">
        <v>19</v>
      </c>
      <c r="U190" s="26"/>
      <c r="X190" s="26"/>
    </row>
    <row r="191" ht="15.0" customHeight="1">
      <c r="A191" s="11">
        <v>115.0</v>
      </c>
      <c r="B191" s="18" t="s">
        <v>436</v>
      </c>
      <c r="C191" s="36" t="s">
        <v>437</v>
      </c>
      <c r="D191" s="39"/>
      <c r="E191" s="40"/>
      <c r="F191" s="41"/>
      <c r="G191" s="23" t="s">
        <v>20</v>
      </c>
      <c r="H191" s="42"/>
      <c r="I191" s="25" t="str">
        <f>IFERROR(VLOOKUP(VALUE(B191), 'คำนวณ '!A:U, 21, FALSE), "")</f>
        <v/>
      </c>
      <c r="J191" s="26" t="str">
        <f>IFERROR(VLOOKUP(VALUE(B191), 'คำนวณ '!A:V, 22, FALSE), "")</f>
        <v/>
      </c>
      <c r="K191" s="27" t="s">
        <v>19</v>
      </c>
      <c r="U191" s="26"/>
      <c r="X191" s="26"/>
    </row>
    <row r="192" ht="15.0" customHeight="1">
      <c r="A192" s="11">
        <v>115.0</v>
      </c>
      <c r="B192" s="18" t="s">
        <v>438</v>
      </c>
      <c r="C192" s="36" t="s">
        <v>439</v>
      </c>
      <c r="D192" s="20" t="s">
        <v>24</v>
      </c>
      <c r="E192" s="21">
        <v>4.0</v>
      </c>
      <c r="F192" s="22" t="s">
        <v>38</v>
      </c>
      <c r="G192" s="23" t="s">
        <v>20</v>
      </c>
      <c r="H192" s="24" t="s">
        <v>11</v>
      </c>
      <c r="I192" s="25">
        <f>IFERROR(VLOOKUP(VALUE(B192), 'คำนวณ '!A:U, 21, FALSE), "")</f>
        <v>1</v>
      </c>
      <c r="J192" s="26">
        <f>IFERROR(VLOOKUP(VALUE(B192), 'คำนวณ '!A:V, 22, FALSE), "")</f>
        <v>1</v>
      </c>
      <c r="K192" s="47" t="s">
        <v>10</v>
      </c>
      <c r="U192" s="26"/>
      <c r="X192" s="26"/>
    </row>
    <row r="193" ht="15.0" customHeight="1">
      <c r="A193" s="11">
        <v>116.0</v>
      </c>
      <c r="B193" s="18" t="s">
        <v>440</v>
      </c>
      <c r="C193" s="36" t="s">
        <v>441</v>
      </c>
      <c r="D193" s="20" t="s">
        <v>46</v>
      </c>
      <c r="E193" s="21">
        <v>4.0</v>
      </c>
      <c r="F193" s="22" t="s">
        <v>38</v>
      </c>
      <c r="G193" s="23" t="s">
        <v>20</v>
      </c>
      <c r="H193" s="24" t="s">
        <v>11</v>
      </c>
      <c r="I193" s="25">
        <f>IFERROR(VLOOKUP(VALUE(B193), 'คำนวณ '!A:U, 21, FALSE), "")</f>
        <v>1</v>
      </c>
      <c r="J193" s="26">
        <f>IFERROR(VLOOKUP(VALUE(B193), 'คำนวณ '!A:V, 22, FALSE), "")</f>
        <v>1</v>
      </c>
      <c r="K193" s="47" t="s">
        <v>10</v>
      </c>
      <c r="U193" s="26"/>
      <c r="X193" s="26"/>
    </row>
    <row r="194" ht="15.0" customHeight="1">
      <c r="A194" s="11">
        <v>116.0</v>
      </c>
      <c r="B194" s="18" t="s">
        <v>442</v>
      </c>
      <c r="C194" s="36" t="s">
        <v>443</v>
      </c>
      <c r="D194" s="20" t="s">
        <v>46</v>
      </c>
      <c r="E194" s="21">
        <v>4.0</v>
      </c>
      <c r="F194" s="22" t="s">
        <v>38</v>
      </c>
      <c r="G194" s="23" t="s">
        <v>20</v>
      </c>
      <c r="H194" s="24" t="s">
        <v>11</v>
      </c>
      <c r="I194" s="25">
        <f>IFERROR(VLOOKUP(VALUE(B194), 'คำนวณ '!A:U, 21, FALSE), "")</f>
        <v>1</v>
      </c>
      <c r="J194" s="26">
        <f>IFERROR(VLOOKUP(VALUE(B194), 'คำนวณ '!A:V, 22, FALSE), "")</f>
        <v>1</v>
      </c>
      <c r="K194" s="47" t="s">
        <v>10</v>
      </c>
      <c r="U194" s="26"/>
      <c r="X194" s="26"/>
    </row>
    <row r="195" ht="15.0" customHeight="1">
      <c r="A195" s="11">
        <v>116.0</v>
      </c>
      <c r="B195" s="18" t="s">
        <v>444</v>
      </c>
      <c r="C195" s="36" t="s">
        <v>445</v>
      </c>
      <c r="D195" s="39"/>
      <c r="E195" s="40"/>
      <c r="F195" s="41"/>
      <c r="G195" s="23" t="s">
        <v>20</v>
      </c>
      <c r="H195" s="42"/>
      <c r="I195" s="25" t="str">
        <f>IFERROR(VLOOKUP(VALUE(B195), 'คำนวณ '!A:U, 21, FALSE), "")</f>
        <v/>
      </c>
      <c r="J195" s="26" t="str">
        <f>IFERROR(VLOOKUP(VALUE(B195), 'คำนวณ '!A:V, 22, FALSE), "")</f>
        <v/>
      </c>
      <c r="K195" s="27" t="s">
        <v>19</v>
      </c>
      <c r="U195" s="26"/>
      <c r="X195" s="26"/>
    </row>
    <row r="196" ht="15.0" customHeight="1">
      <c r="A196" s="11">
        <v>116.0</v>
      </c>
      <c r="B196" s="18" t="s">
        <v>446</v>
      </c>
      <c r="C196" s="36" t="s">
        <v>447</v>
      </c>
      <c r="D196" s="20" t="s">
        <v>46</v>
      </c>
      <c r="E196" s="21">
        <v>4.0</v>
      </c>
      <c r="F196" s="22" t="s">
        <v>38</v>
      </c>
      <c r="G196" s="23" t="s">
        <v>20</v>
      </c>
      <c r="H196" s="24" t="s">
        <v>11</v>
      </c>
      <c r="I196" s="25" t="str">
        <f>IFERROR(VLOOKUP(VALUE(B196), 'คำนวณ '!A:U, 21, FALSE), "")</f>
        <v/>
      </c>
      <c r="J196" s="26" t="str">
        <f>IFERROR(VLOOKUP(VALUE(B196), 'คำนวณ '!A:V, 22, FALSE), "")</f>
        <v/>
      </c>
      <c r="K196" s="27" t="s">
        <v>19</v>
      </c>
      <c r="U196" s="26"/>
      <c r="X196" s="26"/>
    </row>
    <row r="197" ht="15.0" customHeight="1">
      <c r="A197" s="11">
        <v>116.0</v>
      </c>
      <c r="B197" s="18" t="s">
        <v>448</v>
      </c>
      <c r="C197" s="36" t="s">
        <v>449</v>
      </c>
      <c r="D197" s="20" t="s">
        <v>46</v>
      </c>
      <c r="E197" s="21">
        <v>8.0</v>
      </c>
      <c r="F197" s="22" t="s">
        <v>450</v>
      </c>
      <c r="G197" s="23" t="s">
        <v>20</v>
      </c>
      <c r="H197" s="24" t="s">
        <v>11</v>
      </c>
      <c r="I197" s="25">
        <f>IFERROR(VLOOKUP(VALUE(B197), 'คำนวณ '!A:U, 21, FALSE), "")</f>
        <v>1</v>
      </c>
      <c r="J197" s="26">
        <f>IFERROR(VLOOKUP(VALUE(B197), 'คำนวณ '!A:V, 22, FALSE), "")</f>
        <v>1</v>
      </c>
      <c r="K197" s="47" t="s">
        <v>10</v>
      </c>
      <c r="U197" s="26"/>
      <c r="X197" s="26"/>
    </row>
    <row r="198" ht="15.0" customHeight="1">
      <c r="A198" s="11">
        <v>116.0</v>
      </c>
      <c r="B198" s="18" t="s">
        <v>451</v>
      </c>
      <c r="C198" s="36" t="s">
        <v>452</v>
      </c>
      <c r="D198" s="20" t="s">
        <v>46</v>
      </c>
      <c r="E198" s="21">
        <v>8.0</v>
      </c>
      <c r="F198" s="22" t="s">
        <v>453</v>
      </c>
      <c r="G198" s="23" t="s">
        <v>20</v>
      </c>
      <c r="H198" s="24" t="s">
        <v>11</v>
      </c>
      <c r="I198" s="25">
        <f>IFERROR(VLOOKUP(VALUE(B198), 'คำนวณ '!A:U, 21, FALSE), "")</f>
        <v>1</v>
      </c>
      <c r="J198" s="26">
        <f>IFERROR(VLOOKUP(VALUE(B198), 'คำนวณ '!A:V, 22, FALSE), "")</f>
        <v>1</v>
      </c>
      <c r="K198" s="47" t="s">
        <v>10</v>
      </c>
      <c r="U198" s="26"/>
      <c r="X198" s="26"/>
    </row>
    <row r="199" ht="15.0" customHeight="1">
      <c r="A199" s="11">
        <v>116.0</v>
      </c>
      <c r="B199" s="18" t="s">
        <v>454</v>
      </c>
      <c r="C199" s="36" t="s">
        <v>455</v>
      </c>
      <c r="D199" s="20" t="s">
        <v>46</v>
      </c>
      <c r="E199" s="21">
        <v>4.0</v>
      </c>
      <c r="F199" s="22" t="s">
        <v>38</v>
      </c>
      <c r="G199" s="23" t="s">
        <v>20</v>
      </c>
      <c r="H199" s="24" t="s">
        <v>11</v>
      </c>
      <c r="I199" s="25">
        <f>IFERROR(VLOOKUP(VALUE(B199), 'คำนวณ '!A:U, 21, FALSE), "")</f>
        <v>1</v>
      </c>
      <c r="J199" s="26">
        <f>IFERROR(VLOOKUP(VALUE(B199), 'คำนวณ '!A:V, 22, FALSE), "")</f>
        <v>1</v>
      </c>
      <c r="K199" s="27" t="s">
        <v>19</v>
      </c>
      <c r="U199" s="26"/>
      <c r="X199" s="26"/>
    </row>
    <row r="200" ht="15.0" customHeight="1">
      <c r="A200" s="11">
        <v>116.0</v>
      </c>
      <c r="B200" s="18" t="s">
        <v>456</v>
      </c>
      <c r="C200" s="36" t="s">
        <v>457</v>
      </c>
      <c r="D200" s="20" t="s">
        <v>46</v>
      </c>
      <c r="E200" s="21">
        <v>8.0</v>
      </c>
      <c r="F200" s="22" t="s">
        <v>458</v>
      </c>
      <c r="G200" s="23" t="s">
        <v>20</v>
      </c>
      <c r="H200" s="24" t="s">
        <v>11</v>
      </c>
      <c r="I200" s="25">
        <f>IFERROR(VLOOKUP(VALUE(B200), 'คำนวณ '!A:U, 21, FALSE), "")</f>
        <v>1</v>
      </c>
      <c r="J200" s="26">
        <f>IFERROR(VLOOKUP(VALUE(B200), 'คำนวณ '!A:V, 22, FALSE), "")</f>
        <v>1</v>
      </c>
      <c r="K200" s="47" t="s">
        <v>10</v>
      </c>
      <c r="U200" s="26"/>
      <c r="X200" s="26"/>
    </row>
    <row r="201" ht="15.0" customHeight="1">
      <c r="A201" s="11">
        <v>116.0</v>
      </c>
      <c r="B201" s="18" t="s">
        <v>459</v>
      </c>
      <c r="C201" s="36" t="s">
        <v>460</v>
      </c>
      <c r="D201" s="20" t="s">
        <v>46</v>
      </c>
      <c r="E201" s="21">
        <v>4.0</v>
      </c>
      <c r="F201" s="22" t="s">
        <v>38</v>
      </c>
      <c r="G201" s="23" t="s">
        <v>20</v>
      </c>
      <c r="H201" s="24" t="s">
        <v>11</v>
      </c>
      <c r="I201" s="25">
        <f>IFERROR(VLOOKUP(VALUE(B201), 'คำนวณ '!A:U, 21, FALSE), "")</f>
        <v>1</v>
      </c>
      <c r="J201" s="26">
        <f>IFERROR(VLOOKUP(VALUE(B201), 'คำนวณ '!A:V, 22, FALSE), "")</f>
        <v>1</v>
      </c>
      <c r="K201" s="27" t="s">
        <v>19</v>
      </c>
      <c r="U201" s="26"/>
      <c r="X201" s="26"/>
    </row>
    <row r="202" ht="15.0" customHeight="1">
      <c r="A202" s="11">
        <v>116.0</v>
      </c>
      <c r="B202" s="18" t="s">
        <v>461</v>
      </c>
      <c r="C202" s="36" t="s">
        <v>462</v>
      </c>
      <c r="D202" s="20" t="s">
        <v>46</v>
      </c>
      <c r="E202" s="21">
        <v>4.0</v>
      </c>
      <c r="F202" s="22" t="s">
        <v>38</v>
      </c>
      <c r="G202" s="23" t="s">
        <v>20</v>
      </c>
      <c r="H202" s="24" t="s">
        <v>11</v>
      </c>
      <c r="I202" s="25">
        <f>IFERROR(VLOOKUP(VALUE(B202), 'คำนวณ '!A:U, 21, FALSE), "")</f>
        <v>1</v>
      </c>
      <c r="J202" s="26">
        <f>IFERROR(VLOOKUP(VALUE(B202), 'คำนวณ '!A:V, 22, FALSE), "")</f>
        <v>1</v>
      </c>
      <c r="K202" s="27" t="s">
        <v>19</v>
      </c>
      <c r="U202" s="26"/>
      <c r="X202" s="26"/>
    </row>
    <row r="203" ht="15.0" customHeight="1">
      <c r="A203" s="11">
        <v>116.0</v>
      </c>
      <c r="B203" s="18" t="s">
        <v>463</v>
      </c>
      <c r="C203" s="36" t="s">
        <v>464</v>
      </c>
      <c r="D203" s="20" t="s">
        <v>46</v>
      </c>
      <c r="E203" s="21">
        <v>4.0</v>
      </c>
      <c r="F203" s="22" t="s">
        <v>38</v>
      </c>
      <c r="G203" s="23" t="s">
        <v>20</v>
      </c>
      <c r="H203" s="24" t="s">
        <v>11</v>
      </c>
      <c r="I203" s="25">
        <f>IFERROR(VLOOKUP(VALUE(B203), 'คำนวณ '!A:U, 21, FALSE), "")</f>
        <v>1</v>
      </c>
      <c r="J203" s="26">
        <f>IFERROR(VLOOKUP(VALUE(B203), 'คำนวณ '!A:V, 22, FALSE), "")</f>
        <v>1</v>
      </c>
      <c r="K203" s="27" t="s">
        <v>19</v>
      </c>
      <c r="U203" s="26"/>
      <c r="X203" s="26"/>
    </row>
    <row r="204" ht="15.0" customHeight="1">
      <c r="A204" s="11">
        <v>116.0</v>
      </c>
      <c r="B204" s="18" t="s">
        <v>465</v>
      </c>
      <c r="C204" s="36" t="s">
        <v>466</v>
      </c>
      <c r="D204" s="20" t="s">
        <v>46</v>
      </c>
      <c r="E204" s="21">
        <v>4.0</v>
      </c>
      <c r="F204" s="22" t="s">
        <v>38</v>
      </c>
      <c r="G204" s="23" t="s">
        <v>20</v>
      </c>
      <c r="H204" s="24" t="s">
        <v>11</v>
      </c>
      <c r="I204" s="25">
        <f>IFERROR(VLOOKUP(VALUE(B204), 'คำนวณ '!A:U, 21, FALSE), "")</f>
        <v>1</v>
      </c>
      <c r="J204" s="26">
        <f>IFERROR(VLOOKUP(VALUE(B204), 'คำนวณ '!A:V, 22, FALSE), "")</f>
        <v>1</v>
      </c>
      <c r="K204" s="27" t="s">
        <v>19</v>
      </c>
      <c r="U204" s="26"/>
      <c r="X204" s="26"/>
    </row>
    <row r="205" ht="15.0" customHeight="1">
      <c r="A205" s="11">
        <v>116.0</v>
      </c>
      <c r="B205" s="18" t="s">
        <v>467</v>
      </c>
      <c r="C205" s="36" t="s">
        <v>468</v>
      </c>
      <c r="D205" s="20" t="s">
        <v>46</v>
      </c>
      <c r="E205" s="21">
        <v>4.0</v>
      </c>
      <c r="F205" s="22" t="s">
        <v>38</v>
      </c>
      <c r="G205" s="23" t="s">
        <v>20</v>
      </c>
      <c r="H205" s="24" t="s">
        <v>11</v>
      </c>
      <c r="I205" s="25">
        <f>IFERROR(VLOOKUP(VALUE(B205), 'คำนวณ '!A:U, 21, FALSE), "")</f>
        <v>1</v>
      </c>
      <c r="J205" s="26">
        <f>IFERROR(VLOOKUP(VALUE(B205), 'คำนวณ '!A:V, 22, FALSE), "")</f>
        <v>1</v>
      </c>
      <c r="K205" s="27" t="s">
        <v>19</v>
      </c>
      <c r="U205" s="26"/>
      <c r="X205" s="26"/>
    </row>
    <row r="206" ht="15.0" customHeight="1">
      <c r="A206" s="11">
        <v>116.0</v>
      </c>
      <c r="B206" s="18" t="s">
        <v>469</v>
      </c>
      <c r="C206" s="36" t="s">
        <v>470</v>
      </c>
      <c r="D206" s="20" t="s">
        <v>46</v>
      </c>
      <c r="E206" s="21">
        <v>8.0</v>
      </c>
      <c r="F206" s="22" t="s">
        <v>471</v>
      </c>
      <c r="G206" s="23" t="s">
        <v>20</v>
      </c>
      <c r="H206" s="24" t="s">
        <v>11</v>
      </c>
      <c r="I206" s="25">
        <f>IFERROR(VLOOKUP(VALUE(B206), 'คำนวณ '!A:U, 21, FALSE), "")</f>
        <v>1</v>
      </c>
      <c r="J206" s="26">
        <f>IFERROR(VLOOKUP(VALUE(B206), 'คำนวณ '!A:V, 22, FALSE), "")</f>
        <v>1</v>
      </c>
      <c r="K206" s="47" t="s">
        <v>10</v>
      </c>
      <c r="U206" s="26"/>
      <c r="X206" s="26"/>
    </row>
    <row r="207" ht="15.0" customHeight="1">
      <c r="A207" s="11">
        <v>116.0</v>
      </c>
      <c r="B207" s="18" t="s">
        <v>472</v>
      </c>
      <c r="C207" s="36" t="s">
        <v>473</v>
      </c>
      <c r="D207" s="20" t="s">
        <v>46</v>
      </c>
      <c r="E207" s="21">
        <v>4.0</v>
      </c>
      <c r="F207" s="22" t="s">
        <v>38</v>
      </c>
      <c r="G207" s="23" t="s">
        <v>20</v>
      </c>
      <c r="H207" s="24" t="s">
        <v>11</v>
      </c>
      <c r="I207" s="25">
        <f>IFERROR(VLOOKUP(VALUE(B207), 'คำนวณ '!A:U, 21, FALSE), "")</f>
        <v>1</v>
      </c>
      <c r="J207" s="26">
        <f>IFERROR(VLOOKUP(VALUE(B207), 'คำนวณ '!A:V, 22, FALSE), "")</f>
        <v>1</v>
      </c>
      <c r="K207" s="27" t="s">
        <v>19</v>
      </c>
      <c r="U207" s="26"/>
      <c r="X207" s="26"/>
    </row>
    <row r="208" ht="15.0" customHeight="1">
      <c r="A208" s="11">
        <v>116.0</v>
      </c>
      <c r="B208" s="18" t="s">
        <v>474</v>
      </c>
      <c r="C208" s="36" t="s">
        <v>475</v>
      </c>
      <c r="D208" s="20" t="s">
        <v>46</v>
      </c>
      <c r="E208" s="21">
        <v>4.0</v>
      </c>
      <c r="F208" s="22" t="s">
        <v>38</v>
      </c>
      <c r="G208" s="23" t="s">
        <v>20</v>
      </c>
      <c r="H208" s="24" t="s">
        <v>11</v>
      </c>
      <c r="I208" s="25">
        <f>IFERROR(VLOOKUP(VALUE(B208), 'คำนวณ '!A:U, 21, FALSE), "")</f>
        <v>1</v>
      </c>
      <c r="J208" s="26">
        <f>IFERROR(VLOOKUP(VALUE(B208), 'คำนวณ '!A:V, 22, FALSE), "")</f>
        <v>1</v>
      </c>
      <c r="K208" s="27" t="s">
        <v>19</v>
      </c>
      <c r="U208" s="26"/>
      <c r="X208" s="26"/>
    </row>
    <row r="209" ht="15.0" customHeight="1">
      <c r="A209" s="11">
        <v>116.0</v>
      </c>
      <c r="B209" s="18" t="s">
        <v>476</v>
      </c>
      <c r="C209" s="36" t="s">
        <v>477</v>
      </c>
      <c r="D209" s="20" t="s">
        <v>46</v>
      </c>
      <c r="E209" s="21">
        <v>4.0</v>
      </c>
      <c r="F209" s="22" t="s">
        <v>38</v>
      </c>
      <c r="G209" s="23" t="s">
        <v>20</v>
      </c>
      <c r="H209" s="24" t="s">
        <v>11</v>
      </c>
      <c r="I209" s="25">
        <f>IFERROR(VLOOKUP(VALUE(B209), 'คำนวณ '!A:U, 21, FALSE), "")</f>
        <v>1</v>
      </c>
      <c r="J209" s="26">
        <f>IFERROR(VLOOKUP(VALUE(B209), 'คำนวณ '!A:V, 22, FALSE), "")</f>
        <v>1</v>
      </c>
      <c r="K209" s="27" t="s">
        <v>19</v>
      </c>
      <c r="U209" s="26"/>
      <c r="X209" s="26"/>
    </row>
    <row r="210" ht="15.0" customHeight="1">
      <c r="A210" s="11">
        <v>117.0</v>
      </c>
      <c r="B210" s="18" t="s">
        <v>478</v>
      </c>
      <c r="C210" s="36" t="s">
        <v>377</v>
      </c>
      <c r="D210" s="20" t="s">
        <v>35</v>
      </c>
      <c r="E210" s="21">
        <v>8.0</v>
      </c>
      <c r="F210" s="22" t="s">
        <v>479</v>
      </c>
      <c r="G210" s="23" t="s">
        <v>20</v>
      </c>
      <c r="H210" s="24" t="s">
        <v>11</v>
      </c>
      <c r="I210" s="25">
        <f>IFERROR(VLOOKUP(VALUE(B210), 'คำนวณ '!A:U, 21, FALSE), "")</f>
        <v>1</v>
      </c>
      <c r="J210" s="26">
        <f>IFERROR(VLOOKUP(VALUE(B210), 'คำนวณ '!A:V, 22, FALSE), "")</f>
        <v>1</v>
      </c>
      <c r="K210" s="47" t="s">
        <v>10</v>
      </c>
      <c r="U210" s="26"/>
      <c r="X210" s="26"/>
    </row>
    <row r="211" ht="15.0" customHeight="1">
      <c r="A211" s="11">
        <v>117.0</v>
      </c>
      <c r="B211" s="18" t="s">
        <v>480</v>
      </c>
      <c r="C211" s="36" t="s">
        <v>379</v>
      </c>
      <c r="D211" s="20" t="s">
        <v>35</v>
      </c>
      <c r="E211" s="21">
        <v>4.0</v>
      </c>
      <c r="F211" s="22" t="s">
        <v>38</v>
      </c>
      <c r="G211" s="23" t="s">
        <v>20</v>
      </c>
      <c r="H211" s="24" t="s">
        <v>11</v>
      </c>
      <c r="I211" s="25">
        <f>IFERROR(VLOOKUP(VALUE(B211), 'คำนวณ '!A:U, 21, FALSE), "")</f>
        <v>1</v>
      </c>
      <c r="J211" s="26" t="str">
        <f>IFERROR(VLOOKUP(VALUE(B211), 'คำนวณ '!A:V, 22, FALSE), "")</f>
        <v/>
      </c>
      <c r="K211" s="47" t="s">
        <v>10</v>
      </c>
      <c r="U211" s="26"/>
      <c r="X211" s="26"/>
    </row>
    <row r="212" ht="15.0" customHeight="1">
      <c r="A212" s="11">
        <v>117.0</v>
      </c>
      <c r="B212" s="18" t="s">
        <v>481</v>
      </c>
      <c r="C212" s="36" t="s">
        <v>387</v>
      </c>
      <c r="D212" s="20" t="s">
        <v>35</v>
      </c>
      <c r="E212" s="21">
        <v>4.0</v>
      </c>
      <c r="F212" s="22" t="s">
        <v>38</v>
      </c>
      <c r="G212" s="23" t="s">
        <v>20</v>
      </c>
      <c r="H212" s="24" t="s">
        <v>11</v>
      </c>
      <c r="I212" s="25">
        <f>IFERROR(VLOOKUP(VALUE(B212), 'คำนวณ '!A:U, 21, FALSE), "")</f>
        <v>1</v>
      </c>
      <c r="J212" s="26">
        <f>IFERROR(VLOOKUP(VALUE(B212), 'คำนวณ '!A:V, 22, FALSE), "")</f>
        <v>1</v>
      </c>
      <c r="K212" s="47" t="s">
        <v>10</v>
      </c>
      <c r="U212" s="26"/>
      <c r="X212" s="26"/>
    </row>
    <row r="213" ht="15.0" customHeight="1">
      <c r="A213" s="11">
        <v>117.0</v>
      </c>
      <c r="B213" s="18" t="s">
        <v>482</v>
      </c>
      <c r="C213" s="36" t="s">
        <v>383</v>
      </c>
      <c r="D213" s="20" t="s">
        <v>35</v>
      </c>
      <c r="E213" s="21">
        <v>8.0</v>
      </c>
      <c r="F213" s="22" t="s">
        <v>483</v>
      </c>
      <c r="G213" s="23" t="s">
        <v>20</v>
      </c>
      <c r="H213" s="24" t="s">
        <v>11</v>
      </c>
      <c r="I213" s="25">
        <f>IFERROR(VLOOKUP(VALUE(B213), 'คำนวณ '!A:U, 21, FALSE), "")</f>
        <v>1</v>
      </c>
      <c r="J213" s="26">
        <f>IFERROR(VLOOKUP(VALUE(B213), 'คำนวณ '!A:V, 22, FALSE), "")</f>
        <v>1</v>
      </c>
      <c r="K213" s="27" t="s">
        <v>19</v>
      </c>
      <c r="U213" s="26"/>
      <c r="X213" s="26"/>
    </row>
    <row r="214" ht="15.0" customHeight="1">
      <c r="A214" s="11">
        <v>117.0</v>
      </c>
      <c r="B214" s="18" t="s">
        <v>484</v>
      </c>
      <c r="C214" s="36" t="s">
        <v>385</v>
      </c>
      <c r="D214" s="39"/>
      <c r="E214" s="40"/>
      <c r="F214" s="41"/>
      <c r="G214" s="23" t="s">
        <v>20</v>
      </c>
      <c r="H214" s="42"/>
      <c r="I214" s="25" t="str">
        <f>IFERROR(VLOOKUP(VALUE(B214), 'คำนวณ '!A:U, 21, FALSE), "")</f>
        <v/>
      </c>
      <c r="J214" s="26" t="str">
        <f>IFERROR(VLOOKUP(VALUE(B214), 'คำนวณ '!A:V, 22, FALSE), "")</f>
        <v/>
      </c>
      <c r="K214" s="27" t="s">
        <v>19</v>
      </c>
      <c r="U214" s="26"/>
      <c r="X214" s="26"/>
    </row>
    <row r="215" ht="15.0" customHeight="1">
      <c r="A215" s="11">
        <v>117.0</v>
      </c>
      <c r="B215" s="18" t="s">
        <v>485</v>
      </c>
      <c r="C215" s="36" t="s">
        <v>389</v>
      </c>
      <c r="D215" s="20" t="s">
        <v>35</v>
      </c>
      <c r="E215" s="21">
        <v>4.0</v>
      </c>
      <c r="F215" s="22" t="s">
        <v>38</v>
      </c>
      <c r="G215" s="23" t="s">
        <v>20</v>
      </c>
      <c r="H215" s="24" t="s">
        <v>11</v>
      </c>
      <c r="I215" s="25">
        <f>IFERROR(VLOOKUP(VALUE(B215), 'คำนวณ '!A:U, 21, FALSE), "")</f>
        <v>1</v>
      </c>
      <c r="J215" s="26">
        <f>IFERROR(VLOOKUP(VALUE(B215), 'คำนวณ '!A:V, 22, FALSE), "")</f>
        <v>1</v>
      </c>
      <c r="K215" s="47" t="s">
        <v>10</v>
      </c>
      <c r="U215" s="26"/>
      <c r="X215" s="26"/>
    </row>
    <row r="216" ht="15.0" customHeight="1">
      <c r="A216" s="11">
        <v>121.0</v>
      </c>
      <c r="B216" s="18" t="s">
        <v>486</v>
      </c>
      <c r="C216" s="36" t="s">
        <v>487</v>
      </c>
      <c r="D216" s="39"/>
      <c r="E216" s="40"/>
      <c r="F216" s="41"/>
      <c r="G216" s="23" t="s">
        <v>20</v>
      </c>
      <c r="H216" s="42"/>
      <c r="I216" s="25" t="str">
        <f>IFERROR(VLOOKUP(VALUE(B216), 'คำนวณ '!A:U, 21, FALSE), "")</f>
        <v/>
      </c>
      <c r="J216" s="26" t="str">
        <f>IFERROR(VLOOKUP(VALUE(B216), 'คำนวณ '!A:V, 22, FALSE), "")</f>
        <v/>
      </c>
      <c r="K216" s="27" t="s">
        <v>19</v>
      </c>
      <c r="U216" s="26"/>
      <c r="X216" s="26"/>
    </row>
    <row r="217" ht="15.0" customHeight="1">
      <c r="A217" s="11">
        <v>121.0</v>
      </c>
      <c r="B217" s="18" t="s">
        <v>488</v>
      </c>
      <c r="C217" s="36" t="s">
        <v>489</v>
      </c>
      <c r="D217" s="39"/>
      <c r="E217" s="40"/>
      <c r="F217" s="41"/>
      <c r="G217" s="23" t="s">
        <v>20</v>
      </c>
      <c r="H217" s="42"/>
      <c r="I217" s="25" t="str">
        <f>IFERROR(VLOOKUP(VALUE(B217), 'คำนวณ '!A:U, 21, FALSE), "")</f>
        <v/>
      </c>
      <c r="J217" s="26" t="str">
        <f>IFERROR(VLOOKUP(VALUE(B217), 'คำนวณ '!A:V, 22, FALSE), "")</f>
        <v/>
      </c>
      <c r="K217" s="27" t="s">
        <v>19</v>
      </c>
      <c r="U217" s="26"/>
      <c r="X217" s="26"/>
    </row>
    <row r="218" ht="15.0" customHeight="1">
      <c r="A218" s="11">
        <v>121.0</v>
      </c>
      <c r="B218" s="18" t="s">
        <v>490</v>
      </c>
      <c r="C218" s="36" t="s">
        <v>491</v>
      </c>
      <c r="D218" s="39"/>
      <c r="E218" s="40"/>
      <c r="F218" s="41"/>
      <c r="G218" s="23" t="s">
        <v>20</v>
      </c>
      <c r="H218" s="42"/>
      <c r="I218" s="25" t="str">
        <f>IFERROR(VLOOKUP(VALUE(B218), 'คำนวณ '!A:U, 21, FALSE), "")</f>
        <v/>
      </c>
      <c r="J218" s="26" t="str">
        <f>IFERROR(VLOOKUP(VALUE(B218), 'คำนวณ '!A:V, 22, FALSE), "")</f>
        <v/>
      </c>
      <c r="K218" s="27" t="s">
        <v>19</v>
      </c>
      <c r="U218" s="26"/>
      <c r="X218" s="26"/>
    </row>
    <row r="219" ht="15.0" customHeight="1">
      <c r="A219" s="11">
        <v>121.0</v>
      </c>
      <c r="B219" s="18" t="s">
        <v>492</v>
      </c>
      <c r="C219" s="36" t="s">
        <v>493</v>
      </c>
      <c r="D219" s="39"/>
      <c r="E219" s="40"/>
      <c r="F219" s="41"/>
      <c r="G219" s="23" t="s">
        <v>20</v>
      </c>
      <c r="H219" s="42"/>
      <c r="I219" s="25" t="str">
        <f>IFERROR(VLOOKUP(VALUE(B219), 'คำนวณ '!A:U, 21, FALSE), "")</f>
        <v/>
      </c>
      <c r="J219" s="26" t="str">
        <f>IFERROR(VLOOKUP(VALUE(B219), 'คำนวณ '!A:V, 22, FALSE), "")</f>
        <v/>
      </c>
      <c r="K219" s="27" t="s">
        <v>19</v>
      </c>
      <c r="U219" s="26"/>
      <c r="X219" s="26"/>
    </row>
    <row r="220" ht="15.0" customHeight="1">
      <c r="A220" s="11">
        <v>121.0</v>
      </c>
      <c r="B220" s="18" t="s">
        <v>494</v>
      </c>
      <c r="C220" s="36" t="s">
        <v>495</v>
      </c>
      <c r="D220" s="39"/>
      <c r="E220" s="40"/>
      <c r="F220" s="41"/>
      <c r="G220" s="23" t="s">
        <v>20</v>
      </c>
      <c r="H220" s="42"/>
      <c r="I220" s="25" t="str">
        <f>IFERROR(VLOOKUP(VALUE(B220), 'คำนวณ '!A:U, 21, FALSE), "")</f>
        <v/>
      </c>
      <c r="J220" s="26" t="str">
        <f>IFERROR(VLOOKUP(VALUE(B220), 'คำนวณ '!A:V, 22, FALSE), "")</f>
        <v/>
      </c>
      <c r="K220" s="27" t="s">
        <v>19</v>
      </c>
      <c r="U220" s="26"/>
      <c r="X220" s="26"/>
    </row>
    <row r="221" ht="15.0" customHeight="1">
      <c r="A221" s="11">
        <v>121.0</v>
      </c>
      <c r="B221" s="18" t="s">
        <v>496</v>
      </c>
      <c r="C221" s="36" t="s">
        <v>497</v>
      </c>
      <c r="D221" s="39"/>
      <c r="E221" s="40"/>
      <c r="F221" s="41"/>
      <c r="G221" s="23" t="s">
        <v>20</v>
      </c>
      <c r="H221" s="42"/>
      <c r="I221" s="25" t="str">
        <f>IFERROR(VLOOKUP(VALUE(B221), 'คำนวณ '!A:U, 21, FALSE), "")</f>
        <v/>
      </c>
      <c r="J221" s="26" t="str">
        <f>IFERROR(VLOOKUP(VALUE(B221), 'คำนวณ '!A:V, 22, FALSE), "")</f>
        <v/>
      </c>
      <c r="K221" s="27" t="s">
        <v>19</v>
      </c>
      <c r="U221" s="26"/>
      <c r="X221" s="26"/>
    </row>
    <row r="222" ht="15.0" customHeight="1">
      <c r="A222" s="11">
        <v>121.0</v>
      </c>
      <c r="B222" s="18" t="s">
        <v>498</v>
      </c>
      <c r="C222" s="36" t="s">
        <v>499</v>
      </c>
      <c r="D222" s="39"/>
      <c r="E222" s="40"/>
      <c r="F222" s="41"/>
      <c r="G222" s="23" t="s">
        <v>20</v>
      </c>
      <c r="H222" s="42"/>
      <c r="I222" s="25" t="str">
        <f>IFERROR(VLOOKUP(VALUE(B222), 'คำนวณ '!A:U, 21, FALSE), "")</f>
        <v/>
      </c>
      <c r="J222" s="26" t="str">
        <f>IFERROR(VLOOKUP(VALUE(B222), 'คำนวณ '!A:V, 22, FALSE), "")</f>
        <v/>
      </c>
      <c r="K222" s="27" t="s">
        <v>19</v>
      </c>
      <c r="U222" s="26"/>
      <c r="X222" s="26"/>
    </row>
    <row r="223" ht="15.0" customHeight="1">
      <c r="A223" s="11">
        <v>121.0</v>
      </c>
      <c r="B223" s="18" t="s">
        <v>500</v>
      </c>
      <c r="C223" s="36" t="s">
        <v>501</v>
      </c>
      <c r="D223" s="39"/>
      <c r="E223" s="40"/>
      <c r="F223" s="41"/>
      <c r="G223" s="23" t="s">
        <v>20</v>
      </c>
      <c r="H223" s="42"/>
      <c r="I223" s="25" t="str">
        <f>IFERROR(VLOOKUP(VALUE(B223), 'คำนวณ '!A:U, 21, FALSE), "")</f>
        <v/>
      </c>
      <c r="J223" s="26" t="str">
        <f>IFERROR(VLOOKUP(VALUE(B223), 'คำนวณ '!A:V, 22, FALSE), "")</f>
        <v/>
      </c>
      <c r="K223" s="27" t="s">
        <v>19</v>
      </c>
      <c r="U223" s="26"/>
      <c r="X223" s="26"/>
    </row>
    <row r="224" ht="15.0" customHeight="1">
      <c r="A224" s="11">
        <v>121.0</v>
      </c>
      <c r="B224" s="18" t="s">
        <v>502</v>
      </c>
      <c r="C224" s="36" t="s">
        <v>503</v>
      </c>
      <c r="D224" s="39"/>
      <c r="E224" s="40"/>
      <c r="F224" s="41"/>
      <c r="G224" s="23" t="s">
        <v>20</v>
      </c>
      <c r="H224" s="42"/>
      <c r="I224" s="25" t="str">
        <f>IFERROR(VLOOKUP(VALUE(B224), 'คำนวณ '!A:U, 21, FALSE), "")</f>
        <v/>
      </c>
      <c r="J224" s="26" t="str">
        <f>IFERROR(VLOOKUP(VALUE(B224), 'คำนวณ '!A:V, 22, FALSE), "")</f>
        <v/>
      </c>
      <c r="K224" s="27" t="s">
        <v>19</v>
      </c>
      <c r="U224" s="26"/>
      <c r="X224" s="26"/>
    </row>
    <row r="225" ht="15.0" customHeight="1">
      <c r="A225" s="11">
        <v>121.0</v>
      </c>
      <c r="B225" s="18" t="s">
        <v>504</v>
      </c>
      <c r="C225" s="36" t="s">
        <v>505</v>
      </c>
      <c r="D225" s="39"/>
      <c r="E225" s="40"/>
      <c r="F225" s="41"/>
      <c r="G225" s="23" t="s">
        <v>20</v>
      </c>
      <c r="H225" s="42"/>
      <c r="I225" s="25" t="str">
        <f>IFERROR(VLOOKUP(VALUE(B225), 'คำนวณ '!A:U, 21, FALSE), "")</f>
        <v/>
      </c>
      <c r="J225" s="26" t="str">
        <f>IFERROR(VLOOKUP(VALUE(B225), 'คำนวณ '!A:V, 22, FALSE), "")</f>
        <v/>
      </c>
      <c r="K225" s="27" t="s">
        <v>19</v>
      </c>
      <c r="U225" s="26"/>
      <c r="X225" s="26"/>
    </row>
    <row r="226" ht="15.0" customHeight="1">
      <c r="A226" s="11">
        <v>121.0</v>
      </c>
      <c r="B226" s="18" t="s">
        <v>506</v>
      </c>
      <c r="C226" s="36" t="s">
        <v>507</v>
      </c>
      <c r="D226" s="39"/>
      <c r="E226" s="40"/>
      <c r="F226" s="41"/>
      <c r="G226" s="23" t="s">
        <v>20</v>
      </c>
      <c r="H226" s="42"/>
      <c r="I226" s="25" t="str">
        <f>IFERROR(VLOOKUP(VALUE(B226), 'คำนวณ '!A:U, 21, FALSE), "")</f>
        <v/>
      </c>
      <c r="J226" s="26" t="str">
        <f>IFERROR(VLOOKUP(VALUE(B226), 'คำนวณ '!A:V, 22, FALSE), "")</f>
        <v/>
      </c>
      <c r="K226" s="27" t="s">
        <v>19</v>
      </c>
      <c r="U226" s="26"/>
      <c r="X226" s="26"/>
    </row>
    <row r="227" ht="15.0" customHeight="1">
      <c r="A227" s="11">
        <v>121.0</v>
      </c>
      <c r="B227" s="18" t="s">
        <v>508</v>
      </c>
      <c r="C227" s="36" t="s">
        <v>509</v>
      </c>
      <c r="D227" s="39"/>
      <c r="E227" s="40"/>
      <c r="F227" s="41"/>
      <c r="G227" s="23" t="s">
        <v>20</v>
      </c>
      <c r="H227" s="42"/>
      <c r="I227" s="25" t="str">
        <f>IFERROR(VLOOKUP(VALUE(B227), 'คำนวณ '!A:U, 21, FALSE), "")</f>
        <v/>
      </c>
      <c r="J227" s="26" t="str">
        <f>IFERROR(VLOOKUP(VALUE(B227), 'คำนวณ '!A:V, 22, FALSE), "")</f>
        <v/>
      </c>
      <c r="K227" s="27" t="s">
        <v>19</v>
      </c>
      <c r="U227" s="26"/>
      <c r="X227" s="26"/>
    </row>
    <row r="228" ht="15.0" customHeight="1">
      <c r="A228" s="11">
        <v>121.0</v>
      </c>
      <c r="B228" s="18" t="s">
        <v>510</v>
      </c>
      <c r="C228" s="36" t="s">
        <v>511</v>
      </c>
      <c r="D228" s="39"/>
      <c r="E228" s="40"/>
      <c r="F228" s="41"/>
      <c r="G228" s="23" t="s">
        <v>20</v>
      </c>
      <c r="H228" s="42"/>
      <c r="I228" s="25" t="str">
        <f>IFERROR(VLOOKUP(VALUE(B228), 'คำนวณ '!A:U, 21, FALSE), "")</f>
        <v/>
      </c>
      <c r="J228" s="26" t="str">
        <f>IFERROR(VLOOKUP(VALUE(B228), 'คำนวณ '!A:V, 22, FALSE), "")</f>
        <v/>
      </c>
      <c r="K228" s="27" t="s">
        <v>19</v>
      </c>
      <c r="U228" s="26"/>
      <c r="X228" s="26"/>
    </row>
    <row r="229" ht="15.0" customHeight="1">
      <c r="A229" s="11">
        <v>121.0</v>
      </c>
      <c r="B229" s="18" t="s">
        <v>512</v>
      </c>
      <c r="C229" s="36" t="s">
        <v>513</v>
      </c>
      <c r="D229" s="39"/>
      <c r="E229" s="40"/>
      <c r="F229" s="41"/>
      <c r="G229" s="23" t="s">
        <v>20</v>
      </c>
      <c r="H229" s="42"/>
      <c r="I229" s="25" t="str">
        <f>IFERROR(VLOOKUP(VALUE(B229), 'คำนวณ '!A:U, 21, FALSE), "")</f>
        <v/>
      </c>
      <c r="J229" s="26" t="str">
        <f>IFERROR(VLOOKUP(VALUE(B229), 'คำนวณ '!A:V, 22, FALSE), "")</f>
        <v/>
      </c>
      <c r="K229" s="27" t="s">
        <v>19</v>
      </c>
      <c r="U229" s="26"/>
      <c r="X229" s="26"/>
    </row>
    <row r="230" ht="15.0" customHeight="1">
      <c r="A230" s="11">
        <v>121.0</v>
      </c>
      <c r="B230" s="18" t="s">
        <v>514</v>
      </c>
      <c r="C230" s="36" t="s">
        <v>515</v>
      </c>
      <c r="D230" s="39"/>
      <c r="E230" s="40"/>
      <c r="F230" s="41"/>
      <c r="G230" s="23" t="s">
        <v>20</v>
      </c>
      <c r="H230" s="42"/>
      <c r="I230" s="25" t="str">
        <f>IFERROR(VLOOKUP(VALUE(B230), 'คำนวณ '!A:U, 21, FALSE), "")</f>
        <v/>
      </c>
      <c r="J230" s="26" t="str">
        <f>IFERROR(VLOOKUP(VALUE(B230), 'คำนวณ '!A:V, 22, FALSE), "")</f>
        <v/>
      </c>
      <c r="K230" s="27" t="s">
        <v>19</v>
      </c>
      <c r="U230" s="26"/>
      <c r="X230" s="26"/>
    </row>
    <row r="231" ht="15.0" customHeight="1">
      <c r="A231" s="11">
        <v>122.0</v>
      </c>
      <c r="B231" s="18" t="s">
        <v>516</v>
      </c>
      <c r="C231" s="36" t="s">
        <v>517</v>
      </c>
      <c r="D231" s="39"/>
      <c r="E231" s="40"/>
      <c r="F231" s="41"/>
      <c r="G231" s="23" t="s">
        <v>20</v>
      </c>
      <c r="H231" s="42"/>
      <c r="I231" s="25" t="str">
        <f>IFERROR(VLOOKUP(VALUE(B231), 'คำนวณ '!A:U, 21, FALSE), "")</f>
        <v/>
      </c>
      <c r="J231" s="26" t="str">
        <f>IFERROR(VLOOKUP(VALUE(B231), 'คำนวณ '!A:V, 22, FALSE), "")</f>
        <v/>
      </c>
      <c r="K231" s="27" t="s">
        <v>19</v>
      </c>
      <c r="U231" s="26"/>
      <c r="X231" s="26"/>
    </row>
    <row r="232" ht="15.0" customHeight="1">
      <c r="A232" s="11">
        <v>122.0</v>
      </c>
      <c r="B232" s="18" t="s">
        <v>518</v>
      </c>
      <c r="C232" s="36" t="s">
        <v>519</v>
      </c>
      <c r="D232" s="39"/>
      <c r="E232" s="40"/>
      <c r="F232" s="41"/>
      <c r="G232" s="23" t="s">
        <v>20</v>
      </c>
      <c r="H232" s="42"/>
      <c r="I232" s="25" t="str">
        <f>IFERROR(VLOOKUP(VALUE(B232), 'คำนวณ '!A:U, 21, FALSE), "")</f>
        <v/>
      </c>
      <c r="J232" s="26" t="str">
        <f>IFERROR(VLOOKUP(VALUE(B232), 'คำนวณ '!A:V, 22, FALSE), "")</f>
        <v/>
      </c>
      <c r="K232" s="27" t="s">
        <v>19</v>
      </c>
      <c r="U232" s="26"/>
      <c r="X232" s="26"/>
    </row>
    <row r="233" ht="15.0" customHeight="1">
      <c r="A233" s="11">
        <v>122.0</v>
      </c>
      <c r="B233" s="18" t="s">
        <v>520</v>
      </c>
      <c r="C233" s="36" t="s">
        <v>521</v>
      </c>
      <c r="D233" s="39"/>
      <c r="E233" s="40"/>
      <c r="F233" s="41"/>
      <c r="G233" s="23" t="s">
        <v>20</v>
      </c>
      <c r="H233" s="42"/>
      <c r="I233" s="25" t="str">
        <f>IFERROR(VLOOKUP(VALUE(B233), 'คำนวณ '!A:U, 21, FALSE), "")</f>
        <v/>
      </c>
      <c r="J233" s="26" t="str">
        <f>IFERROR(VLOOKUP(VALUE(B233), 'คำนวณ '!A:V, 22, FALSE), "")</f>
        <v/>
      </c>
      <c r="K233" s="27" t="s">
        <v>19</v>
      </c>
      <c r="U233" s="26"/>
      <c r="X233" s="26"/>
    </row>
    <row r="234" ht="15.0" customHeight="1">
      <c r="A234" s="11">
        <v>122.0</v>
      </c>
      <c r="B234" s="18" t="s">
        <v>522</v>
      </c>
      <c r="C234" s="36" t="s">
        <v>523</v>
      </c>
      <c r="D234" s="39"/>
      <c r="E234" s="40"/>
      <c r="F234" s="41"/>
      <c r="G234" s="23" t="s">
        <v>20</v>
      </c>
      <c r="H234" s="42"/>
      <c r="I234" s="25" t="str">
        <f>IFERROR(VLOOKUP(VALUE(B234), 'คำนวณ '!A:U, 21, FALSE), "")</f>
        <v/>
      </c>
      <c r="J234" s="26" t="str">
        <f>IFERROR(VLOOKUP(VALUE(B234), 'คำนวณ '!A:V, 22, FALSE), "")</f>
        <v/>
      </c>
      <c r="K234" s="27" t="s">
        <v>19</v>
      </c>
      <c r="U234" s="26"/>
      <c r="X234" s="26"/>
    </row>
    <row r="235" ht="15.0" customHeight="1">
      <c r="A235" s="11">
        <v>122.0</v>
      </c>
      <c r="B235" s="18" t="s">
        <v>524</v>
      </c>
      <c r="C235" s="36" t="s">
        <v>525</v>
      </c>
      <c r="D235" s="39"/>
      <c r="E235" s="40"/>
      <c r="F235" s="41"/>
      <c r="G235" s="23" t="s">
        <v>20</v>
      </c>
      <c r="H235" s="42"/>
      <c r="I235" s="25" t="str">
        <f>IFERROR(VLOOKUP(VALUE(B235), 'คำนวณ '!A:U, 21, FALSE), "")</f>
        <v/>
      </c>
      <c r="J235" s="26" t="str">
        <f>IFERROR(VLOOKUP(VALUE(B235), 'คำนวณ '!A:V, 22, FALSE), "")</f>
        <v/>
      </c>
      <c r="K235" s="27" t="s">
        <v>19</v>
      </c>
      <c r="U235" s="26"/>
      <c r="X235" s="26"/>
    </row>
    <row r="236" ht="15.0" customHeight="1">
      <c r="A236" s="11">
        <v>123.0</v>
      </c>
      <c r="B236" s="18" t="s">
        <v>526</v>
      </c>
      <c r="C236" s="36" t="s">
        <v>527</v>
      </c>
      <c r="D236" s="20" t="s">
        <v>50</v>
      </c>
      <c r="E236" s="21">
        <v>6.0</v>
      </c>
      <c r="F236" s="22" t="s">
        <v>528</v>
      </c>
      <c r="G236" s="23" t="s">
        <v>20</v>
      </c>
      <c r="H236" s="24" t="s">
        <v>11</v>
      </c>
      <c r="I236" s="25">
        <f>IFERROR(VLOOKUP(VALUE(B236), 'คำนวณ '!A:U, 21, FALSE), "")</f>
        <v>1</v>
      </c>
      <c r="J236" s="26">
        <f>IFERROR(VLOOKUP(VALUE(B236), 'คำนวณ '!A:V, 22, FALSE), "")</f>
        <v>1</v>
      </c>
      <c r="K236" s="27" t="s">
        <v>19</v>
      </c>
      <c r="U236" s="26"/>
      <c r="X236" s="26"/>
    </row>
    <row r="237" ht="15.0" customHeight="1">
      <c r="A237" s="11">
        <v>123.0</v>
      </c>
      <c r="B237" s="18" t="s">
        <v>529</v>
      </c>
      <c r="C237" s="36" t="s">
        <v>489</v>
      </c>
      <c r="D237" s="20" t="s">
        <v>50</v>
      </c>
      <c r="E237" s="21">
        <v>3.0</v>
      </c>
      <c r="F237" s="22" t="s">
        <v>530</v>
      </c>
      <c r="G237" s="23" t="s">
        <v>20</v>
      </c>
      <c r="H237" s="24" t="s">
        <v>11</v>
      </c>
      <c r="I237" s="25">
        <f>IFERROR(VLOOKUP(VALUE(B237), 'คำนวณ '!A:U, 21, FALSE), "")</f>
        <v>1</v>
      </c>
      <c r="J237" s="26">
        <f>IFERROR(VLOOKUP(VALUE(B237), 'คำนวณ '!A:V, 22, FALSE), "")</f>
        <v>1</v>
      </c>
      <c r="K237" s="27" t="s">
        <v>19</v>
      </c>
      <c r="U237" s="26"/>
      <c r="X237" s="26"/>
    </row>
    <row r="238" ht="15.0" customHeight="1">
      <c r="A238" s="11">
        <v>123.0</v>
      </c>
      <c r="B238" s="18" t="s">
        <v>531</v>
      </c>
      <c r="C238" s="36" t="s">
        <v>515</v>
      </c>
      <c r="D238" s="20" t="s">
        <v>50</v>
      </c>
      <c r="E238" s="21">
        <v>6.0</v>
      </c>
      <c r="F238" s="22" t="s">
        <v>532</v>
      </c>
      <c r="G238" s="23" t="s">
        <v>20</v>
      </c>
      <c r="H238" s="24" t="s">
        <v>11</v>
      </c>
      <c r="I238" s="25">
        <f>IFERROR(VLOOKUP(VALUE(B238), 'คำนวณ '!A:U, 21, FALSE), "")</f>
        <v>1</v>
      </c>
      <c r="J238" s="26">
        <f>IFERROR(VLOOKUP(VALUE(B238), 'คำนวณ '!A:V, 22, FALSE), "")</f>
        <v>1</v>
      </c>
      <c r="K238" s="27" t="s">
        <v>19</v>
      </c>
      <c r="U238" s="26"/>
      <c r="X238" s="26"/>
    </row>
    <row r="239" ht="15.0" customHeight="1">
      <c r="A239" s="11">
        <v>123.0</v>
      </c>
      <c r="B239" s="18" t="s">
        <v>533</v>
      </c>
      <c r="C239" s="36" t="s">
        <v>513</v>
      </c>
      <c r="D239" s="20" t="s">
        <v>50</v>
      </c>
      <c r="E239" s="21">
        <v>3.0</v>
      </c>
      <c r="F239" s="22" t="s">
        <v>530</v>
      </c>
      <c r="G239" s="23" t="s">
        <v>20</v>
      </c>
      <c r="H239" s="24" t="s">
        <v>11</v>
      </c>
      <c r="I239" s="25">
        <f>IFERROR(VLOOKUP(VALUE(B239), 'คำนวณ '!A:U, 21, FALSE), "")</f>
        <v>1</v>
      </c>
      <c r="J239" s="26">
        <f>IFERROR(VLOOKUP(VALUE(B239), 'คำนวณ '!A:V, 22, FALSE), "")</f>
        <v>1</v>
      </c>
      <c r="K239" s="27" t="s">
        <v>19</v>
      </c>
      <c r="U239" s="26"/>
      <c r="X239" s="26"/>
    </row>
    <row r="240" ht="15.0" customHeight="1">
      <c r="A240" s="11">
        <v>123.0</v>
      </c>
      <c r="B240" s="18" t="s">
        <v>534</v>
      </c>
      <c r="C240" s="36" t="s">
        <v>493</v>
      </c>
      <c r="D240" s="20" t="s">
        <v>50</v>
      </c>
      <c r="E240" s="21">
        <v>3.0</v>
      </c>
      <c r="F240" s="22" t="s">
        <v>530</v>
      </c>
      <c r="G240" s="23" t="s">
        <v>20</v>
      </c>
      <c r="H240" s="24" t="s">
        <v>11</v>
      </c>
      <c r="I240" s="25">
        <f>IFERROR(VLOOKUP(VALUE(B240), 'คำนวณ '!A:U, 21, FALSE), "")</f>
        <v>1</v>
      </c>
      <c r="J240" s="26">
        <f>IFERROR(VLOOKUP(VALUE(B240), 'คำนวณ '!A:V, 22, FALSE), "")</f>
        <v>1</v>
      </c>
      <c r="K240" s="27" t="s">
        <v>19</v>
      </c>
      <c r="U240" s="26"/>
      <c r="X240" s="26"/>
    </row>
    <row r="241" ht="15.0" customHeight="1">
      <c r="A241" s="11">
        <v>123.0</v>
      </c>
      <c r="B241" s="18" t="s">
        <v>535</v>
      </c>
      <c r="C241" s="36" t="s">
        <v>509</v>
      </c>
      <c r="D241" s="20" t="s">
        <v>50</v>
      </c>
      <c r="E241" s="21">
        <v>6.0</v>
      </c>
      <c r="F241" s="22" t="s">
        <v>536</v>
      </c>
      <c r="G241" s="23" t="s">
        <v>20</v>
      </c>
      <c r="H241" s="24" t="s">
        <v>11</v>
      </c>
      <c r="I241" s="25">
        <f>IFERROR(VLOOKUP(VALUE(B241), 'คำนวณ '!A:U, 21, FALSE), "")</f>
        <v>1</v>
      </c>
      <c r="J241" s="26">
        <f>IFERROR(VLOOKUP(VALUE(B241), 'คำนวณ '!A:V, 22, FALSE), "")</f>
        <v>1</v>
      </c>
      <c r="K241" s="27" t="s">
        <v>19</v>
      </c>
      <c r="U241" s="26"/>
      <c r="X241" s="26"/>
    </row>
    <row r="242" ht="15.0" customHeight="1">
      <c r="A242" s="11">
        <v>123.0</v>
      </c>
      <c r="B242" s="18" t="s">
        <v>537</v>
      </c>
      <c r="C242" s="36" t="s">
        <v>487</v>
      </c>
      <c r="D242" s="20" t="s">
        <v>50</v>
      </c>
      <c r="E242" s="21">
        <v>8.0</v>
      </c>
      <c r="F242" s="22" t="s">
        <v>538</v>
      </c>
      <c r="G242" s="23" t="s">
        <v>20</v>
      </c>
      <c r="H242" s="24" t="s">
        <v>11</v>
      </c>
      <c r="I242" s="25">
        <f>IFERROR(VLOOKUP(VALUE(B242), 'คำนวณ '!A:U, 21, FALSE), "")</f>
        <v>1</v>
      </c>
      <c r="J242" s="26">
        <f>IFERROR(VLOOKUP(VALUE(B242), 'คำนวณ '!A:V, 22, FALSE), "")</f>
        <v>1</v>
      </c>
      <c r="K242" s="27" t="s">
        <v>19</v>
      </c>
      <c r="U242" s="26"/>
      <c r="X242" s="26"/>
    </row>
    <row r="243" ht="15.0" customHeight="1">
      <c r="A243" s="11">
        <v>123.0</v>
      </c>
      <c r="B243" s="18" t="s">
        <v>539</v>
      </c>
      <c r="C243" s="36" t="s">
        <v>491</v>
      </c>
      <c r="D243" s="20" t="s">
        <v>50</v>
      </c>
      <c r="E243" s="21">
        <v>3.0</v>
      </c>
      <c r="F243" s="22" t="s">
        <v>530</v>
      </c>
      <c r="G243" s="23" t="s">
        <v>20</v>
      </c>
      <c r="H243" s="24" t="s">
        <v>11</v>
      </c>
      <c r="I243" s="25">
        <f>IFERROR(VLOOKUP(VALUE(B243), 'คำนวณ '!A:U, 21, FALSE), "")</f>
        <v>1</v>
      </c>
      <c r="J243" s="26">
        <f>IFERROR(VLOOKUP(VALUE(B243), 'คำนวณ '!A:V, 22, FALSE), "")</f>
        <v>1</v>
      </c>
      <c r="K243" s="27" t="s">
        <v>19</v>
      </c>
      <c r="U243" s="26"/>
      <c r="X243" s="26"/>
    </row>
    <row r="244" ht="15.0" customHeight="1">
      <c r="A244" s="11">
        <v>123.0</v>
      </c>
      <c r="B244" s="18" t="s">
        <v>540</v>
      </c>
      <c r="C244" s="36" t="s">
        <v>541</v>
      </c>
      <c r="D244" s="20" t="s">
        <v>50</v>
      </c>
      <c r="E244" s="21">
        <v>6.0</v>
      </c>
      <c r="F244" s="22" t="s">
        <v>542</v>
      </c>
      <c r="G244" s="23" t="s">
        <v>20</v>
      </c>
      <c r="H244" s="24" t="s">
        <v>11</v>
      </c>
      <c r="I244" s="25">
        <f>IFERROR(VLOOKUP(VALUE(B244), 'คำนวณ '!A:U, 21, FALSE), "")</f>
        <v>1</v>
      </c>
      <c r="J244" s="26">
        <f>IFERROR(VLOOKUP(VALUE(B244), 'คำนวณ '!A:V, 22, FALSE), "")</f>
        <v>1</v>
      </c>
      <c r="K244" s="27" t="s">
        <v>19</v>
      </c>
      <c r="U244" s="26"/>
      <c r="X244" s="26"/>
    </row>
    <row r="245" ht="15.0" customHeight="1">
      <c r="A245" s="11">
        <v>123.0</v>
      </c>
      <c r="B245" s="18" t="s">
        <v>543</v>
      </c>
      <c r="C245" s="36" t="s">
        <v>544</v>
      </c>
      <c r="D245" s="20" t="s">
        <v>50</v>
      </c>
      <c r="E245" s="21">
        <v>3.0</v>
      </c>
      <c r="F245" s="22" t="s">
        <v>530</v>
      </c>
      <c r="G245" s="23" t="s">
        <v>20</v>
      </c>
      <c r="H245" s="24" t="s">
        <v>11</v>
      </c>
      <c r="I245" s="25">
        <f>IFERROR(VLOOKUP(VALUE(B245), 'คำนวณ '!A:U, 21, FALSE), "")</f>
        <v>1</v>
      </c>
      <c r="J245" s="26">
        <f>IFERROR(VLOOKUP(VALUE(B245), 'คำนวณ '!A:V, 22, FALSE), "")</f>
        <v>1</v>
      </c>
      <c r="K245" s="27" t="s">
        <v>19</v>
      </c>
      <c r="U245" s="26"/>
      <c r="X245" s="26"/>
    </row>
    <row r="246" ht="15.0" customHeight="1">
      <c r="A246" s="11">
        <v>123.0</v>
      </c>
      <c r="B246" s="18" t="s">
        <v>545</v>
      </c>
      <c r="C246" s="36" t="s">
        <v>125</v>
      </c>
      <c r="D246" s="20" t="s">
        <v>50</v>
      </c>
      <c r="E246" s="21">
        <v>3.0</v>
      </c>
      <c r="F246" s="22" t="s">
        <v>546</v>
      </c>
      <c r="G246" s="23" t="s">
        <v>20</v>
      </c>
      <c r="H246" s="24" t="s">
        <v>11</v>
      </c>
      <c r="I246" s="25">
        <f>IFERROR(VLOOKUP(VALUE(B246), 'คำนวณ '!A:U, 21, FALSE), "")</f>
        <v>1</v>
      </c>
      <c r="J246" s="26">
        <f>IFERROR(VLOOKUP(VALUE(B246), 'คำนวณ '!A:V, 22, FALSE), "")</f>
        <v>1</v>
      </c>
      <c r="K246" s="27" t="s">
        <v>19</v>
      </c>
      <c r="U246" s="26"/>
      <c r="X246" s="26"/>
    </row>
    <row r="247" ht="15.0" customHeight="1">
      <c r="A247" s="11">
        <v>123.0</v>
      </c>
      <c r="B247" s="18" t="s">
        <v>547</v>
      </c>
      <c r="C247" s="36" t="s">
        <v>548</v>
      </c>
      <c r="D247" s="20" t="s">
        <v>50</v>
      </c>
      <c r="E247" s="21">
        <v>2.0</v>
      </c>
      <c r="F247" s="22" t="s">
        <v>83</v>
      </c>
      <c r="G247" s="23" t="s">
        <v>20</v>
      </c>
      <c r="H247" s="24" t="s">
        <v>11</v>
      </c>
      <c r="I247" s="25">
        <f>IFERROR(VLOOKUP(VALUE(B247), 'คำนวณ '!A:U, 21, FALSE), "")</f>
        <v>1</v>
      </c>
      <c r="J247" s="26">
        <f>IFERROR(VLOOKUP(VALUE(B247), 'คำนวณ '!A:V, 22, FALSE), "")</f>
        <v>1</v>
      </c>
      <c r="K247" s="27" t="s">
        <v>19</v>
      </c>
      <c r="U247" s="26"/>
      <c r="X247" s="26"/>
    </row>
    <row r="248" ht="15.0" customHeight="1">
      <c r="A248" s="11">
        <v>123.0</v>
      </c>
      <c r="B248" s="18" t="s">
        <v>549</v>
      </c>
      <c r="C248" s="36" t="s">
        <v>550</v>
      </c>
      <c r="D248" s="20" t="s">
        <v>50</v>
      </c>
      <c r="E248" s="21">
        <v>4.0</v>
      </c>
      <c r="F248" s="22" t="s">
        <v>551</v>
      </c>
      <c r="G248" s="23" t="s">
        <v>20</v>
      </c>
      <c r="H248" s="24" t="s">
        <v>11</v>
      </c>
      <c r="I248" s="25">
        <f>IFERROR(VLOOKUP(VALUE(B248), 'คำนวณ '!A:U, 21, FALSE), "")</f>
        <v>1</v>
      </c>
      <c r="J248" s="26">
        <f>IFERROR(VLOOKUP(VALUE(B248), 'คำนวณ '!A:V, 22, FALSE), "")</f>
        <v>1</v>
      </c>
      <c r="K248" s="27" t="s">
        <v>19</v>
      </c>
      <c r="U248" s="26"/>
      <c r="X248" s="26"/>
    </row>
    <row r="249" ht="15.0" customHeight="1">
      <c r="A249" s="11">
        <v>123.0</v>
      </c>
      <c r="B249" s="18" t="s">
        <v>552</v>
      </c>
      <c r="C249" s="36" t="s">
        <v>501</v>
      </c>
      <c r="D249" s="20" t="s">
        <v>50</v>
      </c>
      <c r="E249" s="21">
        <v>10.0</v>
      </c>
      <c r="F249" s="22" t="s">
        <v>553</v>
      </c>
      <c r="G249" s="23" t="s">
        <v>20</v>
      </c>
      <c r="H249" s="24" t="s">
        <v>11</v>
      </c>
      <c r="I249" s="25">
        <f>IFERROR(VLOOKUP(VALUE(B249), 'คำนวณ '!A:U, 21, FALSE), "")</f>
        <v>1</v>
      </c>
      <c r="J249" s="26">
        <f>IFERROR(VLOOKUP(VALUE(B249), 'คำนวณ '!A:V, 22, FALSE), "")</f>
        <v>1</v>
      </c>
      <c r="K249" s="47" t="s">
        <v>10</v>
      </c>
      <c r="U249" s="26"/>
      <c r="X249" s="26"/>
    </row>
    <row r="250" ht="15.0" customHeight="1">
      <c r="A250" s="11">
        <v>123.0</v>
      </c>
      <c r="B250" s="18" t="s">
        <v>554</v>
      </c>
      <c r="C250" s="36" t="s">
        <v>507</v>
      </c>
      <c r="D250" s="20" t="s">
        <v>50</v>
      </c>
      <c r="E250" s="21">
        <v>4.0</v>
      </c>
      <c r="F250" s="22" t="s">
        <v>38</v>
      </c>
      <c r="G250" s="23" t="s">
        <v>20</v>
      </c>
      <c r="H250" s="24" t="s">
        <v>11</v>
      </c>
      <c r="I250" s="25">
        <f>IFERROR(VLOOKUP(VALUE(B250), 'คำนวณ '!A:U, 21, FALSE), "")</f>
        <v>1</v>
      </c>
      <c r="J250" s="26">
        <f>IFERROR(VLOOKUP(VALUE(B250), 'คำนวณ '!A:V, 22, FALSE), "")</f>
        <v>1</v>
      </c>
      <c r="K250" s="47" t="s">
        <v>10</v>
      </c>
      <c r="U250" s="26"/>
      <c r="X250" s="26"/>
    </row>
    <row r="251" ht="15.0" customHeight="1">
      <c r="A251" s="11">
        <v>123.0</v>
      </c>
      <c r="B251" s="18" t="s">
        <v>555</v>
      </c>
      <c r="C251" s="36" t="s">
        <v>495</v>
      </c>
      <c r="D251" s="20" t="s">
        <v>16</v>
      </c>
      <c r="E251" s="21">
        <v>8.0</v>
      </c>
      <c r="F251" s="22" t="s">
        <v>556</v>
      </c>
      <c r="G251" s="23" t="s">
        <v>20</v>
      </c>
      <c r="H251" s="24" t="s">
        <v>11</v>
      </c>
      <c r="I251" s="25">
        <f>IFERROR(VLOOKUP(VALUE(B251), 'คำนวณ '!A:U, 21, FALSE), "")</f>
        <v>1</v>
      </c>
      <c r="J251" s="26">
        <f>IFERROR(VLOOKUP(VALUE(B251), 'คำนวณ '!A:V, 22, FALSE), "")</f>
        <v>1</v>
      </c>
      <c r="K251" s="47" t="s">
        <v>10</v>
      </c>
      <c r="U251" s="26"/>
      <c r="X251" s="26"/>
    </row>
    <row r="252" ht="15.0" customHeight="1">
      <c r="A252" s="11">
        <v>123.0</v>
      </c>
      <c r="B252" s="18" t="s">
        <v>557</v>
      </c>
      <c r="C252" s="36" t="s">
        <v>497</v>
      </c>
      <c r="D252" s="20" t="s">
        <v>16</v>
      </c>
      <c r="E252" s="21">
        <v>4.0</v>
      </c>
      <c r="F252" s="22" t="s">
        <v>38</v>
      </c>
      <c r="G252" s="23" t="s">
        <v>20</v>
      </c>
      <c r="H252" s="24" t="s">
        <v>11</v>
      </c>
      <c r="I252" s="25">
        <f>IFERROR(VLOOKUP(VALUE(B252), 'คำนวณ '!A:U, 21, FALSE), "")</f>
        <v>1</v>
      </c>
      <c r="J252" s="26">
        <f>IFERROR(VLOOKUP(VALUE(B252), 'คำนวณ '!A:V, 22, FALSE), "")</f>
        <v>1</v>
      </c>
      <c r="K252" s="47" t="s">
        <v>10</v>
      </c>
      <c r="U252" s="26"/>
      <c r="X252" s="26"/>
    </row>
    <row r="253" ht="15.0" customHeight="1">
      <c r="A253" s="11">
        <v>123.0</v>
      </c>
      <c r="B253" s="18" t="s">
        <v>558</v>
      </c>
      <c r="C253" s="36" t="s">
        <v>211</v>
      </c>
      <c r="D253" s="20" t="s">
        <v>16</v>
      </c>
      <c r="E253" s="21">
        <v>2.0</v>
      </c>
      <c r="F253" s="22" t="s">
        <v>83</v>
      </c>
      <c r="G253" s="23" t="s">
        <v>20</v>
      </c>
      <c r="H253" s="24" t="s">
        <v>11</v>
      </c>
      <c r="I253" s="25">
        <f>IFERROR(VLOOKUP(VALUE(B253), 'คำนวณ '!A:U, 21, FALSE), "")</f>
        <v>1</v>
      </c>
      <c r="J253" s="26">
        <f>IFERROR(VLOOKUP(VALUE(B253), 'คำนวณ '!A:V, 22, FALSE), "")</f>
        <v>1</v>
      </c>
      <c r="K253" s="27" t="s">
        <v>19</v>
      </c>
      <c r="U253" s="26"/>
      <c r="X253" s="26"/>
    </row>
    <row r="254" ht="15.0" customHeight="1">
      <c r="A254" s="11">
        <v>123.0</v>
      </c>
      <c r="B254" s="18" t="s">
        <v>559</v>
      </c>
      <c r="C254" s="36" t="s">
        <v>52</v>
      </c>
      <c r="D254" s="20" t="s">
        <v>16</v>
      </c>
      <c r="E254" s="21">
        <v>2.0</v>
      </c>
      <c r="F254" s="22" t="s">
        <v>83</v>
      </c>
      <c r="G254" s="23" t="s">
        <v>20</v>
      </c>
      <c r="H254" s="24" t="s">
        <v>11</v>
      </c>
      <c r="I254" s="25">
        <f>IFERROR(VLOOKUP(VALUE(B254), 'คำนวณ '!A:U, 21, FALSE), "")</f>
        <v>1</v>
      </c>
      <c r="J254" s="26">
        <f>IFERROR(VLOOKUP(VALUE(B254), 'คำนวณ '!A:V, 22, FALSE), "")</f>
        <v>1</v>
      </c>
      <c r="K254" s="27" t="s">
        <v>19</v>
      </c>
      <c r="U254" s="26"/>
      <c r="X254" s="26"/>
    </row>
    <row r="255" ht="15.0" customHeight="1">
      <c r="A255" s="11">
        <v>124.0</v>
      </c>
      <c r="B255" s="18" t="s">
        <v>560</v>
      </c>
      <c r="C255" s="36" t="s">
        <v>561</v>
      </c>
      <c r="D255" s="20" t="s">
        <v>50</v>
      </c>
      <c r="E255" s="21">
        <v>4.0</v>
      </c>
      <c r="F255" s="22" t="s">
        <v>38</v>
      </c>
      <c r="G255" s="23" t="s">
        <v>20</v>
      </c>
      <c r="H255" s="24" t="s">
        <v>11</v>
      </c>
      <c r="I255" s="25">
        <f>IFERROR(VLOOKUP(VALUE(B255), 'คำนวณ '!A:U, 21, FALSE), "")</f>
        <v>1</v>
      </c>
      <c r="J255" s="26">
        <f>IFERROR(VLOOKUP(VALUE(B255), 'คำนวณ '!A:V, 22, FALSE), "")</f>
        <v>1</v>
      </c>
      <c r="K255" s="27" t="s">
        <v>19</v>
      </c>
      <c r="U255" s="26"/>
      <c r="X255" s="26"/>
    </row>
    <row r="256" ht="15.0" customHeight="1">
      <c r="A256" s="11">
        <v>124.0</v>
      </c>
      <c r="B256" s="18" t="s">
        <v>562</v>
      </c>
      <c r="C256" s="36" t="s">
        <v>563</v>
      </c>
      <c r="D256" s="20" t="s">
        <v>50</v>
      </c>
      <c r="E256" s="21">
        <v>4.0</v>
      </c>
      <c r="F256" s="22" t="s">
        <v>38</v>
      </c>
      <c r="G256" s="23" t="s">
        <v>20</v>
      </c>
      <c r="H256" s="24" t="s">
        <v>11</v>
      </c>
      <c r="I256" s="25">
        <f>IFERROR(VLOOKUP(VALUE(B256), 'คำนวณ '!A:U, 21, FALSE), "")</f>
        <v>1</v>
      </c>
      <c r="J256" s="26">
        <f>IFERROR(VLOOKUP(VALUE(B256), 'คำนวณ '!A:V, 22, FALSE), "")</f>
        <v>1</v>
      </c>
      <c r="K256" s="27" t="s">
        <v>19</v>
      </c>
      <c r="U256" s="26"/>
      <c r="X256" s="26"/>
    </row>
    <row r="257" ht="15.0" customHeight="1">
      <c r="A257" s="11">
        <v>124.0</v>
      </c>
      <c r="B257" s="18" t="s">
        <v>564</v>
      </c>
      <c r="C257" s="36" t="s">
        <v>565</v>
      </c>
      <c r="D257" s="20" t="s">
        <v>50</v>
      </c>
      <c r="E257" s="21">
        <v>4.0</v>
      </c>
      <c r="F257" s="22" t="s">
        <v>38</v>
      </c>
      <c r="G257" s="23" t="s">
        <v>20</v>
      </c>
      <c r="H257" s="24" t="s">
        <v>11</v>
      </c>
      <c r="I257" s="25">
        <f>IFERROR(VLOOKUP(VALUE(B257), 'คำนวณ '!A:U, 21, FALSE), "")</f>
        <v>1</v>
      </c>
      <c r="J257" s="26">
        <f>IFERROR(VLOOKUP(VALUE(B257), 'คำนวณ '!A:V, 22, FALSE), "")</f>
        <v>1</v>
      </c>
      <c r="K257" s="27" t="s">
        <v>19</v>
      </c>
      <c r="U257" s="26"/>
      <c r="X257" s="26"/>
    </row>
    <row r="258" ht="15.0" customHeight="1">
      <c r="A258" s="11">
        <v>124.0</v>
      </c>
      <c r="B258" s="18" t="s">
        <v>566</v>
      </c>
      <c r="C258" s="36" t="s">
        <v>567</v>
      </c>
      <c r="D258" s="20" t="s">
        <v>50</v>
      </c>
      <c r="E258" s="21">
        <v>4.0</v>
      </c>
      <c r="F258" s="22" t="s">
        <v>38</v>
      </c>
      <c r="G258" s="23" t="s">
        <v>20</v>
      </c>
      <c r="H258" s="24" t="s">
        <v>11</v>
      </c>
      <c r="I258" s="25">
        <f>IFERROR(VLOOKUP(VALUE(B258), 'คำนวณ '!A:U, 21, FALSE), "")</f>
        <v>1</v>
      </c>
      <c r="J258" s="26">
        <f>IFERROR(VLOOKUP(VALUE(B258), 'คำนวณ '!A:V, 22, FALSE), "")</f>
        <v>1</v>
      </c>
      <c r="K258" s="27" t="s">
        <v>19</v>
      </c>
      <c r="U258" s="26"/>
      <c r="X258" s="26"/>
    </row>
    <row r="259" ht="15.0" customHeight="1">
      <c r="A259" s="11">
        <v>124.0</v>
      </c>
      <c r="B259" s="18" t="s">
        <v>568</v>
      </c>
      <c r="C259" s="36" t="s">
        <v>569</v>
      </c>
      <c r="D259" s="20" t="s">
        <v>50</v>
      </c>
      <c r="E259" s="21">
        <v>4.0</v>
      </c>
      <c r="F259" s="22" t="s">
        <v>38</v>
      </c>
      <c r="G259" s="23" t="s">
        <v>20</v>
      </c>
      <c r="H259" s="24" t="s">
        <v>11</v>
      </c>
      <c r="I259" s="25">
        <f>IFERROR(VLOOKUP(VALUE(B259), 'คำนวณ '!A:U, 21, FALSE), "")</f>
        <v>1</v>
      </c>
      <c r="J259" s="26">
        <f>IFERROR(VLOOKUP(VALUE(B259), 'คำนวณ '!A:V, 22, FALSE), "")</f>
        <v>1</v>
      </c>
      <c r="K259" s="27" t="s">
        <v>19</v>
      </c>
      <c r="U259" s="26"/>
      <c r="X259" s="26"/>
    </row>
    <row r="260" ht="15.0" customHeight="1">
      <c r="A260" s="11">
        <v>124.0</v>
      </c>
      <c r="B260" s="18" t="s">
        <v>570</v>
      </c>
      <c r="C260" s="36" t="s">
        <v>571</v>
      </c>
      <c r="D260" s="20" t="s">
        <v>42</v>
      </c>
      <c r="E260" s="21">
        <v>2.0</v>
      </c>
      <c r="F260" s="22" t="s">
        <v>83</v>
      </c>
      <c r="G260" s="23" t="s">
        <v>20</v>
      </c>
      <c r="H260" s="24" t="s">
        <v>11</v>
      </c>
      <c r="I260" s="25">
        <f>IFERROR(VLOOKUP(VALUE(B260), 'คำนวณ '!A:U, 21, FALSE), "")</f>
        <v>1</v>
      </c>
      <c r="J260" s="26">
        <f>IFERROR(VLOOKUP(VALUE(B260), 'คำนวณ '!A:V, 22, FALSE), "")</f>
        <v>1</v>
      </c>
      <c r="K260" s="27" t="s">
        <v>19</v>
      </c>
      <c r="U260" s="26"/>
      <c r="X260" s="26"/>
    </row>
    <row r="261" ht="15.0" customHeight="1">
      <c r="A261" s="11">
        <v>124.0</v>
      </c>
      <c r="B261" s="18" t="s">
        <v>572</v>
      </c>
      <c r="C261" s="36" t="s">
        <v>573</v>
      </c>
      <c r="D261" s="20" t="s">
        <v>42</v>
      </c>
      <c r="E261" s="21">
        <v>2.0</v>
      </c>
      <c r="F261" s="22" t="s">
        <v>83</v>
      </c>
      <c r="G261" s="23" t="s">
        <v>20</v>
      </c>
      <c r="H261" s="24" t="s">
        <v>11</v>
      </c>
      <c r="I261" s="25">
        <f>IFERROR(VLOOKUP(VALUE(B261), 'คำนวณ '!A:U, 21, FALSE), "")</f>
        <v>1</v>
      </c>
      <c r="J261" s="26">
        <f>IFERROR(VLOOKUP(VALUE(B261), 'คำนวณ '!A:V, 22, FALSE), "")</f>
        <v>1</v>
      </c>
      <c r="K261" s="27" t="s">
        <v>19</v>
      </c>
      <c r="U261" s="26"/>
      <c r="X261" s="26"/>
    </row>
    <row r="262" ht="15.0" customHeight="1">
      <c r="A262" s="11">
        <v>124.0</v>
      </c>
      <c r="B262" s="18" t="s">
        <v>574</v>
      </c>
      <c r="C262" s="36" t="s">
        <v>575</v>
      </c>
      <c r="D262" s="20" t="s">
        <v>42</v>
      </c>
      <c r="E262" s="21">
        <v>2.0</v>
      </c>
      <c r="F262" s="22" t="s">
        <v>83</v>
      </c>
      <c r="G262" s="23" t="s">
        <v>20</v>
      </c>
      <c r="H262" s="24" t="s">
        <v>11</v>
      </c>
      <c r="I262" s="25">
        <f>IFERROR(VLOOKUP(VALUE(B262), 'คำนวณ '!A:U, 21, FALSE), "")</f>
        <v>1</v>
      </c>
      <c r="J262" s="26">
        <f>IFERROR(VLOOKUP(VALUE(B262), 'คำนวณ '!A:V, 22, FALSE), "")</f>
        <v>1</v>
      </c>
      <c r="K262" s="27" t="s">
        <v>19</v>
      </c>
      <c r="U262" s="26"/>
      <c r="X262" s="26"/>
    </row>
    <row r="263" ht="15.0" customHeight="1">
      <c r="A263" s="11">
        <v>124.0</v>
      </c>
      <c r="B263" s="18" t="s">
        <v>576</v>
      </c>
      <c r="C263" s="36" t="s">
        <v>577</v>
      </c>
      <c r="D263" s="20" t="s">
        <v>42</v>
      </c>
      <c r="E263" s="21">
        <v>2.0</v>
      </c>
      <c r="F263" s="22" t="s">
        <v>83</v>
      </c>
      <c r="G263" s="23" t="s">
        <v>20</v>
      </c>
      <c r="H263" s="24" t="s">
        <v>11</v>
      </c>
      <c r="I263" s="25">
        <f>IFERROR(VLOOKUP(VALUE(B263), 'คำนวณ '!A:U, 21, FALSE), "")</f>
        <v>1</v>
      </c>
      <c r="J263" s="26">
        <f>IFERROR(VLOOKUP(VALUE(B263), 'คำนวณ '!A:V, 22, FALSE), "")</f>
        <v>1</v>
      </c>
      <c r="K263" s="27" t="s">
        <v>19</v>
      </c>
      <c r="U263" s="26"/>
      <c r="X263" s="26"/>
    </row>
    <row r="264" ht="15.0" customHeight="1">
      <c r="A264" s="11">
        <v>124.0</v>
      </c>
      <c r="B264" s="18" t="s">
        <v>578</v>
      </c>
      <c r="C264" s="36" t="s">
        <v>579</v>
      </c>
      <c r="D264" s="20" t="s">
        <v>42</v>
      </c>
      <c r="E264" s="21">
        <v>2.0</v>
      </c>
      <c r="F264" s="22" t="s">
        <v>83</v>
      </c>
      <c r="G264" s="23" t="s">
        <v>20</v>
      </c>
      <c r="H264" s="24" t="s">
        <v>11</v>
      </c>
      <c r="I264" s="25">
        <f>IFERROR(VLOOKUP(VALUE(B264), 'คำนวณ '!A:U, 21, FALSE), "")</f>
        <v>1</v>
      </c>
      <c r="J264" s="26">
        <f>IFERROR(VLOOKUP(VALUE(B264), 'คำนวณ '!A:V, 22, FALSE), "")</f>
        <v>1</v>
      </c>
      <c r="K264" s="27" t="s">
        <v>19</v>
      </c>
      <c r="U264" s="26"/>
      <c r="X264" s="26"/>
    </row>
    <row r="265" ht="15.0" customHeight="1">
      <c r="A265" s="11">
        <v>125.0</v>
      </c>
      <c r="B265" s="18" t="s">
        <v>580</v>
      </c>
      <c r="C265" s="36" t="s">
        <v>523</v>
      </c>
      <c r="D265" s="20" t="s">
        <v>42</v>
      </c>
      <c r="E265" s="21">
        <v>3.0</v>
      </c>
      <c r="F265" s="22" t="s">
        <v>581</v>
      </c>
      <c r="G265" s="23" t="s">
        <v>20</v>
      </c>
      <c r="H265" s="24" t="s">
        <v>11</v>
      </c>
      <c r="I265" s="25">
        <f>IFERROR(VLOOKUP(VALUE(B265), 'คำนวณ '!A:U, 21, FALSE), "")</f>
        <v>1</v>
      </c>
      <c r="J265" s="26">
        <f>IFERROR(VLOOKUP(VALUE(B265), 'คำนวณ '!A:V, 22, FALSE), "")</f>
        <v>1</v>
      </c>
      <c r="K265" s="27" t="s">
        <v>19</v>
      </c>
      <c r="U265" s="26"/>
      <c r="X265" s="26"/>
    </row>
    <row r="266" ht="15.0" customHeight="1">
      <c r="A266" s="11">
        <v>125.0</v>
      </c>
      <c r="B266" s="18" t="s">
        <v>582</v>
      </c>
      <c r="C266" s="36" t="s">
        <v>505</v>
      </c>
      <c r="D266" s="20" t="s">
        <v>42</v>
      </c>
      <c r="E266" s="21">
        <v>3.0</v>
      </c>
      <c r="F266" s="22" t="s">
        <v>583</v>
      </c>
      <c r="G266" s="23" t="s">
        <v>20</v>
      </c>
      <c r="H266" s="24" t="s">
        <v>11</v>
      </c>
      <c r="I266" s="25">
        <f>IFERROR(VLOOKUP(VALUE(B266), 'คำนวณ '!A:U, 21, FALSE), "")</f>
        <v>1</v>
      </c>
      <c r="J266" s="26">
        <f>IFERROR(VLOOKUP(VALUE(B266), 'คำนวณ '!A:V, 22, FALSE), "")</f>
        <v>1</v>
      </c>
      <c r="K266" s="27" t="s">
        <v>19</v>
      </c>
      <c r="U266" s="26"/>
      <c r="X266" s="26"/>
    </row>
    <row r="267" ht="15.0" customHeight="1">
      <c r="A267" s="11">
        <v>211.0</v>
      </c>
      <c r="B267" s="18" t="s">
        <v>584</v>
      </c>
      <c r="C267" s="36" t="s">
        <v>585</v>
      </c>
      <c r="D267" s="39"/>
      <c r="E267" s="40"/>
      <c r="F267" s="41"/>
      <c r="G267" s="23" t="s">
        <v>29</v>
      </c>
      <c r="H267" s="42"/>
      <c r="I267" s="25" t="str">
        <f>IFERROR(VLOOKUP(VALUE(B267), 'คำนวณ '!A:U, 21, FALSE), "")</f>
        <v/>
      </c>
      <c r="J267" s="26" t="str">
        <f>IFERROR(VLOOKUP(VALUE(B267), 'คำนวณ '!A:V, 22, FALSE), "")</f>
        <v/>
      </c>
      <c r="K267" s="27" t="s">
        <v>19</v>
      </c>
      <c r="U267" s="26"/>
      <c r="X267" s="26"/>
    </row>
    <row r="268" ht="15.0" customHeight="1">
      <c r="A268" s="11">
        <v>211.0</v>
      </c>
      <c r="B268" s="18" t="s">
        <v>586</v>
      </c>
      <c r="C268" s="36" t="s">
        <v>587</v>
      </c>
      <c r="D268" s="39"/>
      <c r="E268" s="40"/>
      <c r="F268" s="41"/>
      <c r="G268" s="23" t="s">
        <v>29</v>
      </c>
      <c r="H268" s="42"/>
      <c r="I268" s="25" t="str">
        <f>IFERROR(VLOOKUP(VALUE(B268), 'คำนวณ '!A:U, 21, FALSE), "")</f>
        <v/>
      </c>
      <c r="J268" s="26" t="str">
        <f>IFERROR(VLOOKUP(VALUE(B268), 'คำนวณ '!A:V, 22, FALSE), "")</f>
        <v/>
      </c>
      <c r="K268" s="27" t="s">
        <v>19</v>
      </c>
      <c r="U268" s="26"/>
      <c r="X268" s="26"/>
    </row>
    <row r="269" ht="15.0" customHeight="1">
      <c r="A269" s="11">
        <v>211.0</v>
      </c>
      <c r="B269" s="18" t="s">
        <v>588</v>
      </c>
      <c r="C269" s="36" t="s">
        <v>589</v>
      </c>
      <c r="D269" s="20" t="s">
        <v>53</v>
      </c>
      <c r="E269" s="21">
        <v>8.0</v>
      </c>
      <c r="F269" s="22" t="s">
        <v>590</v>
      </c>
      <c r="G269" s="23" t="s">
        <v>29</v>
      </c>
      <c r="H269" s="24" t="s">
        <v>11</v>
      </c>
      <c r="I269" s="25">
        <f>IFERROR(VLOOKUP(VALUE(B269), 'คำนวณ '!A:U, 21, FALSE), "")</f>
        <v>1</v>
      </c>
      <c r="J269" s="26">
        <f>IFERROR(VLOOKUP(VALUE(B269), 'คำนวณ '!A:V, 22, FALSE), "")</f>
        <v>1</v>
      </c>
      <c r="K269" s="27" t="s">
        <v>19</v>
      </c>
      <c r="U269" s="26"/>
      <c r="X269" s="26"/>
    </row>
    <row r="270" ht="15.0" customHeight="1">
      <c r="A270" s="11">
        <v>211.0</v>
      </c>
      <c r="B270" s="18" t="s">
        <v>591</v>
      </c>
      <c r="C270" s="36" t="s">
        <v>592</v>
      </c>
      <c r="D270" s="20" t="s">
        <v>53</v>
      </c>
      <c r="E270" s="21">
        <v>2.0</v>
      </c>
      <c r="F270" s="22" t="s">
        <v>83</v>
      </c>
      <c r="G270" s="23" t="s">
        <v>29</v>
      </c>
      <c r="H270" s="24" t="s">
        <v>11</v>
      </c>
      <c r="I270" s="25">
        <f>IFERROR(VLOOKUP(VALUE(B270), 'คำนวณ '!A:U, 21, FALSE), "")</f>
        <v>1</v>
      </c>
      <c r="J270" s="26">
        <f>IFERROR(VLOOKUP(VALUE(B270), 'คำนวณ '!A:V, 22, FALSE), "")</f>
        <v>1</v>
      </c>
      <c r="K270" s="27" t="s">
        <v>19</v>
      </c>
      <c r="U270" s="26"/>
      <c r="X270" s="26"/>
    </row>
    <row r="271" ht="15.0" customHeight="1">
      <c r="A271" s="11">
        <v>211.0</v>
      </c>
      <c r="B271" s="18" t="s">
        <v>593</v>
      </c>
      <c r="C271" s="36" t="s">
        <v>594</v>
      </c>
      <c r="D271" s="20" t="s">
        <v>53</v>
      </c>
      <c r="E271" s="21">
        <v>2.0</v>
      </c>
      <c r="F271" s="22" t="s">
        <v>83</v>
      </c>
      <c r="G271" s="23" t="s">
        <v>29</v>
      </c>
      <c r="H271" s="24" t="s">
        <v>11</v>
      </c>
      <c r="I271" s="25">
        <f>IFERROR(VLOOKUP(VALUE(B271), 'คำนวณ '!A:U, 21, FALSE), "")</f>
        <v>1</v>
      </c>
      <c r="J271" s="26">
        <f>IFERROR(VLOOKUP(VALUE(B271), 'คำนวณ '!A:V, 22, FALSE), "")</f>
        <v>1</v>
      </c>
      <c r="K271" s="27" t="s">
        <v>19</v>
      </c>
      <c r="U271" s="26"/>
      <c r="X271" s="26"/>
    </row>
    <row r="272" ht="15.0" customHeight="1">
      <c r="A272" s="11">
        <v>211.0</v>
      </c>
      <c r="B272" s="18" t="s">
        <v>595</v>
      </c>
      <c r="C272" s="36" t="s">
        <v>596</v>
      </c>
      <c r="D272" s="20" t="s">
        <v>53</v>
      </c>
      <c r="E272" s="21">
        <v>4.0</v>
      </c>
      <c r="F272" s="22" t="s">
        <v>597</v>
      </c>
      <c r="G272" s="23" t="s">
        <v>29</v>
      </c>
      <c r="H272" s="24" t="s">
        <v>11</v>
      </c>
      <c r="I272" s="25">
        <f>IFERROR(VLOOKUP(VALUE(B272), 'คำนวณ '!A:U, 21, FALSE), "")</f>
        <v>1</v>
      </c>
      <c r="J272" s="26">
        <f>IFERROR(VLOOKUP(VALUE(B272), 'คำนวณ '!A:V, 22, FALSE), "")</f>
        <v>1</v>
      </c>
      <c r="K272" s="27" t="s">
        <v>19</v>
      </c>
      <c r="U272" s="26"/>
      <c r="X272" s="26"/>
    </row>
    <row r="273" ht="15.0" customHeight="1">
      <c r="A273" s="11">
        <v>211.0</v>
      </c>
      <c r="B273" s="18" t="s">
        <v>598</v>
      </c>
      <c r="C273" s="36" t="s">
        <v>599</v>
      </c>
      <c r="D273" s="20" t="s">
        <v>53</v>
      </c>
      <c r="E273" s="21">
        <v>4.0</v>
      </c>
      <c r="F273" s="22" t="s">
        <v>597</v>
      </c>
      <c r="G273" s="23" t="s">
        <v>29</v>
      </c>
      <c r="H273" s="24" t="s">
        <v>11</v>
      </c>
      <c r="I273" s="25">
        <f>IFERROR(VLOOKUP(VALUE(B273), 'คำนวณ '!A:U, 21, FALSE), "")</f>
        <v>1</v>
      </c>
      <c r="J273" s="26">
        <f>IFERROR(VLOOKUP(VALUE(B273), 'คำนวณ '!A:V, 22, FALSE), "")</f>
        <v>1</v>
      </c>
      <c r="K273" s="27" t="s">
        <v>19</v>
      </c>
      <c r="U273" s="26"/>
      <c r="X273" s="26"/>
    </row>
    <row r="274" ht="15.0" customHeight="1">
      <c r="A274" s="11">
        <v>211.0</v>
      </c>
      <c r="B274" s="18" t="s">
        <v>600</v>
      </c>
      <c r="C274" s="36" t="s">
        <v>601</v>
      </c>
      <c r="D274" s="20" t="s">
        <v>60</v>
      </c>
      <c r="E274" s="21">
        <v>4.0</v>
      </c>
      <c r="F274" s="22" t="s">
        <v>38</v>
      </c>
      <c r="G274" s="23" t="s">
        <v>29</v>
      </c>
      <c r="H274" s="24" t="s">
        <v>11</v>
      </c>
      <c r="I274" s="25">
        <f>IFERROR(VLOOKUP(VALUE(B274), 'คำนวณ '!A:U, 21, FALSE), "")</f>
        <v>1</v>
      </c>
      <c r="J274" s="26" t="str">
        <f>IFERROR(VLOOKUP(VALUE(B274), 'คำนวณ '!A:V, 22, FALSE), "")</f>
        <v/>
      </c>
      <c r="K274" s="27" t="s">
        <v>19</v>
      </c>
      <c r="U274" s="26"/>
      <c r="X274" s="26"/>
    </row>
    <row r="275" ht="15.0" customHeight="1">
      <c r="A275" s="11">
        <v>211.0</v>
      </c>
      <c r="B275" s="18" t="s">
        <v>602</v>
      </c>
      <c r="C275" s="36" t="s">
        <v>603</v>
      </c>
      <c r="D275" s="20" t="s">
        <v>53</v>
      </c>
      <c r="E275" s="21">
        <v>4.0</v>
      </c>
      <c r="F275" s="22" t="s">
        <v>597</v>
      </c>
      <c r="G275" s="23" t="s">
        <v>29</v>
      </c>
      <c r="H275" s="24" t="s">
        <v>11</v>
      </c>
      <c r="I275" s="25">
        <f>IFERROR(VLOOKUP(VALUE(B275), 'คำนวณ '!A:U, 21, FALSE), "")</f>
        <v>1</v>
      </c>
      <c r="J275" s="26">
        <f>IFERROR(VLOOKUP(VALUE(B275), 'คำนวณ '!A:V, 22, FALSE), "")</f>
        <v>1</v>
      </c>
      <c r="K275" s="27" t="s">
        <v>19</v>
      </c>
      <c r="U275" s="26"/>
      <c r="X275" s="26"/>
    </row>
    <row r="276" ht="15.0" customHeight="1">
      <c r="A276" s="11">
        <v>211.0</v>
      </c>
      <c r="B276" s="18" t="s">
        <v>604</v>
      </c>
      <c r="C276" s="36" t="s">
        <v>605</v>
      </c>
      <c r="D276" s="20" t="s">
        <v>53</v>
      </c>
      <c r="E276" s="21">
        <v>2.0</v>
      </c>
      <c r="F276" s="22" t="s">
        <v>83</v>
      </c>
      <c r="G276" s="23" t="s">
        <v>29</v>
      </c>
      <c r="H276" s="24" t="s">
        <v>11</v>
      </c>
      <c r="I276" s="25">
        <f>IFERROR(VLOOKUP(VALUE(B276), 'คำนวณ '!A:U, 21, FALSE), "")</f>
        <v>1</v>
      </c>
      <c r="J276" s="26">
        <f>IFERROR(VLOOKUP(VALUE(B276), 'คำนวณ '!A:V, 22, FALSE), "")</f>
        <v>1</v>
      </c>
      <c r="K276" s="27" t="s">
        <v>19</v>
      </c>
      <c r="U276" s="26"/>
      <c r="X276" s="26"/>
    </row>
    <row r="277" ht="15.0" customHeight="1">
      <c r="A277" s="11">
        <v>211.0</v>
      </c>
      <c r="B277" s="18" t="s">
        <v>606</v>
      </c>
      <c r="C277" s="36" t="s">
        <v>607</v>
      </c>
      <c r="D277" s="39"/>
      <c r="E277" s="40"/>
      <c r="F277" s="41"/>
      <c r="G277" s="23" t="s">
        <v>29</v>
      </c>
      <c r="H277" s="42"/>
      <c r="I277" s="25" t="str">
        <f>IFERROR(VLOOKUP(VALUE(B277), 'คำนวณ '!A:U, 21, FALSE), "")</f>
        <v/>
      </c>
      <c r="J277" s="26" t="str">
        <f>IFERROR(VLOOKUP(VALUE(B277), 'คำนวณ '!A:V, 22, FALSE), "")</f>
        <v/>
      </c>
      <c r="K277" s="27" t="s">
        <v>19</v>
      </c>
      <c r="U277" s="26"/>
      <c r="X277" s="26"/>
    </row>
    <row r="278" ht="15.0" customHeight="1">
      <c r="A278" s="11">
        <v>211.0</v>
      </c>
      <c r="B278" s="18" t="s">
        <v>608</v>
      </c>
      <c r="C278" s="36" t="s">
        <v>609</v>
      </c>
      <c r="D278" s="39"/>
      <c r="E278" s="40"/>
      <c r="F278" s="41"/>
      <c r="G278" s="23" t="s">
        <v>29</v>
      </c>
      <c r="H278" s="42"/>
      <c r="I278" s="25" t="str">
        <f>IFERROR(VLOOKUP(VALUE(B278), 'คำนวณ '!A:U, 21, FALSE), "")</f>
        <v/>
      </c>
      <c r="J278" s="26" t="str">
        <f>IFERROR(VLOOKUP(VALUE(B278), 'คำนวณ '!A:V, 22, FALSE), "")</f>
        <v/>
      </c>
      <c r="K278" s="27" t="s">
        <v>19</v>
      </c>
      <c r="U278" s="26"/>
      <c r="X278" s="26"/>
    </row>
    <row r="279" ht="15.0" customHeight="1">
      <c r="A279" s="11">
        <v>211.0</v>
      </c>
      <c r="B279" s="18" t="s">
        <v>610</v>
      </c>
      <c r="C279" s="36" t="s">
        <v>611</v>
      </c>
      <c r="D279" s="20" t="s">
        <v>53</v>
      </c>
      <c r="E279" s="21">
        <v>4.0</v>
      </c>
      <c r="F279" s="22" t="s">
        <v>597</v>
      </c>
      <c r="G279" s="23" t="s">
        <v>29</v>
      </c>
      <c r="H279" s="24" t="s">
        <v>11</v>
      </c>
      <c r="I279" s="25">
        <f>IFERROR(VLOOKUP(VALUE(B279), 'คำนวณ '!A:U, 21, FALSE), "")</f>
        <v>1</v>
      </c>
      <c r="J279" s="26">
        <f>IFERROR(VLOOKUP(VALUE(B279), 'คำนวณ '!A:V, 22, FALSE), "")</f>
        <v>1</v>
      </c>
      <c r="K279" s="27" t="s">
        <v>19</v>
      </c>
      <c r="U279" s="26"/>
      <c r="X279" s="26"/>
    </row>
    <row r="280" ht="15.0" customHeight="1">
      <c r="A280" s="11">
        <v>211.0</v>
      </c>
      <c r="B280" s="18" t="s">
        <v>612</v>
      </c>
      <c r="C280" s="36" t="s">
        <v>613</v>
      </c>
      <c r="D280" s="20" t="s">
        <v>53</v>
      </c>
      <c r="E280" s="21">
        <v>4.0</v>
      </c>
      <c r="F280" s="22" t="s">
        <v>597</v>
      </c>
      <c r="G280" s="23" t="s">
        <v>29</v>
      </c>
      <c r="H280" s="24" t="s">
        <v>11</v>
      </c>
      <c r="I280" s="25">
        <f>IFERROR(VLOOKUP(VALUE(B280), 'คำนวณ '!A:U, 21, FALSE), "")</f>
        <v>1</v>
      </c>
      <c r="J280" s="26">
        <f>IFERROR(VLOOKUP(VALUE(B280), 'คำนวณ '!A:V, 22, FALSE), "")</f>
        <v>1</v>
      </c>
      <c r="K280" s="27" t="s">
        <v>19</v>
      </c>
      <c r="U280" s="26"/>
      <c r="X280" s="26"/>
    </row>
    <row r="281" ht="15.0" customHeight="1">
      <c r="A281" s="11">
        <v>211.0</v>
      </c>
      <c r="B281" s="18" t="s">
        <v>614</v>
      </c>
      <c r="C281" s="36" t="s">
        <v>615</v>
      </c>
      <c r="D281" s="39"/>
      <c r="E281" s="40"/>
      <c r="F281" s="41"/>
      <c r="G281" s="23" t="s">
        <v>29</v>
      </c>
      <c r="H281" s="42"/>
      <c r="I281" s="25" t="str">
        <f>IFERROR(VLOOKUP(VALUE(B281), 'คำนวณ '!A:U, 21, FALSE), "")</f>
        <v/>
      </c>
      <c r="J281" s="26" t="str">
        <f>IFERROR(VLOOKUP(VALUE(B281), 'คำนวณ '!A:V, 22, FALSE), "")</f>
        <v/>
      </c>
      <c r="K281" s="27" t="s">
        <v>19</v>
      </c>
      <c r="U281" s="26"/>
      <c r="X281" s="26"/>
    </row>
    <row r="282" ht="15.0" customHeight="1">
      <c r="A282" s="11">
        <v>211.0</v>
      </c>
      <c r="B282" s="18" t="s">
        <v>616</v>
      </c>
      <c r="C282" s="36" t="s">
        <v>617</v>
      </c>
      <c r="D282" s="20" t="s">
        <v>53</v>
      </c>
      <c r="E282" s="21">
        <v>4.0</v>
      </c>
      <c r="F282" s="22" t="s">
        <v>38</v>
      </c>
      <c r="G282" s="23" t="s">
        <v>29</v>
      </c>
      <c r="H282" s="24" t="s">
        <v>11</v>
      </c>
      <c r="I282" s="25">
        <f>IFERROR(VLOOKUP(VALUE(B282), 'คำนวณ '!A:U, 21, FALSE), "")</f>
        <v>1</v>
      </c>
      <c r="J282" s="26">
        <f>IFERROR(VLOOKUP(VALUE(B282), 'คำนวณ '!A:V, 22, FALSE), "")</f>
        <v>1</v>
      </c>
      <c r="K282" s="27" t="s">
        <v>19</v>
      </c>
      <c r="U282" s="26"/>
      <c r="X282" s="26"/>
    </row>
    <row r="283" ht="15.0" customHeight="1">
      <c r="A283" s="11">
        <v>211.0</v>
      </c>
      <c r="B283" s="18" t="s">
        <v>618</v>
      </c>
      <c r="C283" s="36" t="s">
        <v>619</v>
      </c>
      <c r="D283" s="20" t="s">
        <v>53</v>
      </c>
      <c r="E283" s="21">
        <v>4.0</v>
      </c>
      <c r="F283" s="22" t="s">
        <v>38</v>
      </c>
      <c r="G283" s="23" t="s">
        <v>29</v>
      </c>
      <c r="H283" s="24" t="s">
        <v>11</v>
      </c>
      <c r="I283" s="25">
        <f>IFERROR(VLOOKUP(VALUE(B283), 'คำนวณ '!A:U, 21, FALSE), "")</f>
        <v>1</v>
      </c>
      <c r="J283" s="26">
        <f>IFERROR(VLOOKUP(VALUE(B283), 'คำนวณ '!A:V, 22, FALSE), "")</f>
        <v>1</v>
      </c>
      <c r="K283" s="27" t="s">
        <v>19</v>
      </c>
      <c r="U283" s="26"/>
      <c r="X283" s="26"/>
    </row>
    <row r="284" ht="15.0" customHeight="1">
      <c r="A284" s="11">
        <v>211.0</v>
      </c>
      <c r="B284" s="18" t="s">
        <v>620</v>
      </c>
      <c r="C284" s="36" t="s">
        <v>621</v>
      </c>
      <c r="D284" s="20" t="s">
        <v>53</v>
      </c>
      <c r="E284" s="21">
        <v>4.0</v>
      </c>
      <c r="F284" s="22" t="s">
        <v>38</v>
      </c>
      <c r="G284" s="23" t="s">
        <v>29</v>
      </c>
      <c r="H284" s="24" t="s">
        <v>11</v>
      </c>
      <c r="I284" s="25">
        <f>IFERROR(VLOOKUP(VALUE(B284), 'คำนวณ '!A:U, 21, FALSE), "")</f>
        <v>1</v>
      </c>
      <c r="J284" s="26" t="str">
        <f>IFERROR(VLOOKUP(VALUE(B284), 'คำนวณ '!A:V, 22, FALSE), "")</f>
        <v/>
      </c>
      <c r="K284" s="27" t="s">
        <v>19</v>
      </c>
      <c r="U284" s="26"/>
      <c r="X284" s="26"/>
    </row>
    <row r="285" ht="15.0" customHeight="1">
      <c r="A285" s="11">
        <v>211.0</v>
      </c>
      <c r="B285" s="18" t="s">
        <v>622</v>
      </c>
      <c r="C285" s="36" t="s">
        <v>623</v>
      </c>
      <c r="D285" s="20" t="s">
        <v>53</v>
      </c>
      <c r="E285" s="21">
        <v>2.0</v>
      </c>
      <c r="F285" s="22" t="s">
        <v>83</v>
      </c>
      <c r="G285" s="23" t="s">
        <v>29</v>
      </c>
      <c r="H285" s="24" t="s">
        <v>11</v>
      </c>
      <c r="I285" s="25">
        <f>IFERROR(VLOOKUP(VALUE(B285), 'คำนวณ '!A:U, 21, FALSE), "")</f>
        <v>1</v>
      </c>
      <c r="J285" s="26">
        <f>IFERROR(VLOOKUP(VALUE(B285), 'คำนวณ '!A:V, 22, FALSE), "")</f>
        <v>1</v>
      </c>
      <c r="K285" s="27" t="s">
        <v>19</v>
      </c>
      <c r="U285" s="26"/>
      <c r="X285" s="26"/>
    </row>
    <row r="286" ht="15.0" customHeight="1">
      <c r="A286" s="11">
        <v>212.0</v>
      </c>
      <c r="B286" s="18" t="s">
        <v>624</v>
      </c>
      <c r="C286" s="36" t="s">
        <v>625</v>
      </c>
      <c r="D286" s="39"/>
      <c r="E286" s="40"/>
      <c r="F286" s="41"/>
      <c r="G286" s="23" t="s">
        <v>29</v>
      </c>
      <c r="H286" s="42"/>
      <c r="I286" s="25" t="str">
        <f>IFERROR(VLOOKUP(VALUE(B286), 'คำนวณ '!A:U, 21, FALSE), "")</f>
        <v/>
      </c>
      <c r="J286" s="26" t="str">
        <f>IFERROR(VLOOKUP(VALUE(B286), 'คำนวณ '!A:V, 22, FALSE), "")</f>
        <v/>
      </c>
      <c r="K286" s="27" t="s">
        <v>19</v>
      </c>
      <c r="U286" s="26"/>
      <c r="X286" s="26"/>
    </row>
    <row r="287" ht="15.0" customHeight="1">
      <c r="A287" s="11">
        <v>212.0</v>
      </c>
      <c r="B287" s="18" t="s">
        <v>626</v>
      </c>
      <c r="C287" s="36" t="s">
        <v>627</v>
      </c>
      <c r="D287" s="39"/>
      <c r="E287" s="40"/>
      <c r="F287" s="41"/>
      <c r="G287" s="23" t="s">
        <v>29</v>
      </c>
      <c r="H287" s="42"/>
      <c r="I287" s="25" t="str">
        <f>IFERROR(VLOOKUP(VALUE(B287), 'คำนวณ '!A:U, 21, FALSE), "")</f>
        <v/>
      </c>
      <c r="J287" s="26" t="str">
        <f>IFERROR(VLOOKUP(VALUE(B287), 'คำนวณ '!A:V, 22, FALSE), "")</f>
        <v/>
      </c>
      <c r="K287" s="27" t="s">
        <v>19</v>
      </c>
      <c r="U287" s="26"/>
      <c r="X287" s="26"/>
    </row>
    <row r="288" ht="15.0" customHeight="1">
      <c r="A288" s="11">
        <v>212.0</v>
      </c>
      <c r="B288" s="18" t="s">
        <v>628</v>
      </c>
      <c r="C288" s="36" t="s">
        <v>629</v>
      </c>
      <c r="D288" s="39"/>
      <c r="E288" s="40"/>
      <c r="F288" s="41"/>
      <c r="G288" s="23" t="s">
        <v>29</v>
      </c>
      <c r="H288" s="42"/>
      <c r="I288" s="25" t="str">
        <f>IFERROR(VLOOKUP(VALUE(B288), 'คำนวณ '!A:U, 21, FALSE), "")</f>
        <v/>
      </c>
      <c r="J288" s="26" t="str">
        <f>IFERROR(VLOOKUP(VALUE(B288), 'คำนวณ '!A:V, 22, FALSE), "")</f>
        <v/>
      </c>
      <c r="K288" s="27" t="s">
        <v>19</v>
      </c>
      <c r="U288" s="26"/>
      <c r="X288" s="26"/>
    </row>
    <row r="289" ht="15.0" customHeight="1">
      <c r="A289" s="11">
        <v>212.0</v>
      </c>
      <c r="B289" s="18" t="s">
        <v>630</v>
      </c>
      <c r="C289" s="36" t="s">
        <v>631</v>
      </c>
      <c r="D289" s="20" t="s">
        <v>57</v>
      </c>
      <c r="E289" s="21">
        <v>8.0</v>
      </c>
      <c r="F289" s="22" t="s">
        <v>632</v>
      </c>
      <c r="G289" s="23" t="s">
        <v>29</v>
      </c>
      <c r="H289" s="24" t="s">
        <v>11</v>
      </c>
      <c r="I289" s="25">
        <f>IFERROR(VLOOKUP(VALUE(B289), 'คำนวณ '!A:U, 21, FALSE), "")</f>
        <v>1</v>
      </c>
      <c r="J289" s="26">
        <f>IFERROR(VLOOKUP(VALUE(B289), 'คำนวณ '!A:V, 22, FALSE), "")</f>
        <v>1</v>
      </c>
      <c r="K289" s="27" t="s">
        <v>19</v>
      </c>
      <c r="U289" s="26"/>
      <c r="X289" s="26"/>
    </row>
    <row r="290" ht="15.0" customHeight="1">
      <c r="A290" s="11">
        <v>212.0</v>
      </c>
      <c r="B290" s="18" t="s">
        <v>633</v>
      </c>
      <c r="C290" s="36" t="s">
        <v>634</v>
      </c>
      <c r="D290" s="20" t="s">
        <v>57</v>
      </c>
      <c r="E290" s="21">
        <v>2.0</v>
      </c>
      <c r="F290" s="22" t="s">
        <v>83</v>
      </c>
      <c r="G290" s="23" t="s">
        <v>29</v>
      </c>
      <c r="H290" s="24" t="s">
        <v>11</v>
      </c>
      <c r="I290" s="25">
        <f>IFERROR(VLOOKUP(VALUE(B290), 'คำนวณ '!A:U, 21, FALSE), "")</f>
        <v>1</v>
      </c>
      <c r="J290" s="26">
        <f>IFERROR(VLOOKUP(VALUE(B290), 'คำนวณ '!A:V, 22, FALSE), "")</f>
        <v>1</v>
      </c>
      <c r="K290" s="27" t="s">
        <v>19</v>
      </c>
      <c r="U290" s="26"/>
      <c r="X290" s="26"/>
    </row>
    <row r="291" ht="15.0" customHeight="1">
      <c r="A291" s="11">
        <v>212.0</v>
      </c>
      <c r="B291" s="18" t="s">
        <v>635</v>
      </c>
      <c r="C291" s="36" t="s">
        <v>636</v>
      </c>
      <c r="D291" s="20" t="s">
        <v>57</v>
      </c>
      <c r="E291" s="21">
        <v>4.0</v>
      </c>
      <c r="F291" s="22" t="s">
        <v>38</v>
      </c>
      <c r="G291" s="23" t="s">
        <v>29</v>
      </c>
      <c r="H291" s="24" t="s">
        <v>11</v>
      </c>
      <c r="I291" s="25">
        <f>IFERROR(VLOOKUP(VALUE(B291), 'คำนวณ '!A:U, 21, FALSE), "")</f>
        <v>1</v>
      </c>
      <c r="J291" s="26">
        <f>IFERROR(VLOOKUP(VALUE(B291), 'คำนวณ '!A:V, 22, FALSE), "")</f>
        <v>1</v>
      </c>
      <c r="K291" s="27" t="s">
        <v>19</v>
      </c>
      <c r="U291" s="26"/>
      <c r="X291" s="26"/>
    </row>
    <row r="292" ht="15.0" customHeight="1">
      <c r="A292" s="11">
        <v>212.0</v>
      </c>
      <c r="B292" s="18" t="s">
        <v>637</v>
      </c>
      <c r="C292" s="36" t="s">
        <v>638</v>
      </c>
      <c r="D292" s="20" t="s">
        <v>57</v>
      </c>
      <c r="E292" s="21">
        <v>4.0</v>
      </c>
      <c r="F292" s="22" t="s">
        <v>639</v>
      </c>
      <c r="G292" s="23" t="s">
        <v>29</v>
      </c>
      <c r="H292" s="24" t="s">
        <v>11</v>
      </c>
      <c r="I292" s="25">
        <f>IFERROR(VLOOKUP(VALUE(B292), 'คำนวณ '!A:U, 21, FALSE), "")</f>
        <v>1</v>
      </c>
      <c r="J292" s="26">
        <f>IFERROR(VLOOKUP(VALUE(B292), 'คำนวณ '!A:V, 22, FALSE), "")</f>
        <v>1</v>
      </c>
      <c r="K292" s="27" t="s">
        <v>19</v>
      </c>
      <c r="U292" s="26"/>
      <c r="X292" s="26"/>
    </row>
    <row r="293" ht="15.0" customHeight="1">
      <c r="A293" s="11">
        <v>212.0</v>
      </c>
      <c r="B293" s="18" t="s">
        <v>640</v>
      </c>
      <c r="C293" s="36" t="s">
        <v>641</v>
      </c>
      <c r="D293" s="20" t="s">
        <v>57</v>
      </c>
      <c r="E293" s="21">
        <v>4.0</v>
      </c>
      <c r="F293" s="22" t="s">
        <v>639</v>
      </c>
      <c r="G293" s="23" t="s">
        <v>29</v>
      </c>
      <c r="H293" s="24" t="s">
        <v>11</v>
      </c>
      <c r="I293" s="25">
        <f>IFERROR(VLOOKUP(VALUE(B293), 'คำนวณ '!A:U, 21, FALSE), "")</f>
        <v>1</v>
      </c>
      <c r="J293" s="26">
        <f>IFERROR(VLOOKUP(VALUE(B293), 'คำนวณ '!A:V, 22, FALSE), "")</f>
        <v>1</v>
      </c>
      <c r="K293" s="27" t="s">
        <v>19</v>
      </c>
      <c r="U293" s="26"/>
      <c r="X293" s="26"/>
    </row>
    <row r="294" ht="15.0" customHeight="1">
      <c r="A294" s="11">
        <v>212.0</v>
      </c>
      <c r="B294" s="18" t="s">
        <v>642</v>
      </c>
      <c r="C294" s="36" t="s">
        <v>643</v>
      </c>
      <c r="D294" s="39"/>
      <c r="E294" s="40"/>
      <c r="F294" s="41"/>
      <c r="G294" s="23" t="s">
        <v>29</v>
      </c>
      <c r="H294" s="42"/>
      <c r="I294" s="25" t="str">
        <f>IFERROR(VLOOKUP(VALUE(B294), 'คำนวณ '!A:U, 21, FALSE), "")</f>
        <v/>
      </c>
      <c r="J294" s="26" t="str">
        <f>IFERROR(VLOOKUP(VALUE(B294), 'คำนวณ '!A:V, 22, FALSE), "")</f>
        <v/>
      </c>
      <c r="K294" s="27" t="s">
        <v>19</v>
      </c>
      <c r="U294" s="26"/>
      <c r="X294" s="26"/>
    </row>
    <row r="295" ht="15.0" customHeight="1">
      <c r="A295" s="11">
        <v>212.0</v>
      </c>
      <c r="B295" s="18" t="s">
        <v>644</v>
      </c>
      <c r="C295" s="36" t="s">
        <v>645</v>
      </c>
      <c r="D295" s="20" t="s">
        <v>57</v>
      </c>
      <c r="E295" s="21">
        <v>4.0</v>
      </c>
      <c r="F295" s="22" t="s">
        <v>639</v>
      </c>
      <c r="G295" s="23" t="s">
        <v>29</v>
      </c>
      <c r="H295" s="24" t="s">
        <v>11</v>
      </c>
      <c r="I295" s="25">
        <f>IFERROR(VLOOKUP(VALUE(B295), 'คำนวณ '!A:U, 21, FALSE), "")</f>
        <v>1</v>
      </c>
      <c r="J295" s="26">
        <f>IFERROR(VLOOKUP(VALUE(B295), 'คำนวณ '!A:V, 22, FALSE), "")</f>
        <v>1</v>
      </c>
      <c r="K295" s="27" t="s">
        <v>19</v>
      </c>
      <c r="U295" s="26"/>
      <c r="X295" s="26"/>
    </row>
    <row r="296" ht="15.0" customHeight="1">
      <c r="A296" s="11">
        <v>212.0</v>
      </c>
      <c r="B296" s="18" t="s">
        <v>646</v>
      </c>
      <c r="C296" s="36" t="s">
        <v>647</v>
      </c>
      <c r="D296" s="39"/>
      <c r="E296" s="40"/>
      <c r="F296" s="41"/>
      <c r="G296" s="23" t="s">
        <v>29</v>
      </c>
      <c r="H296" s="42"/>
      <c r="I296" s="25" t="str">
        <f>IFERROR(VLOOKUP(VALUE(B296), 'คำนวณ '!A:U, 21, FALSE), "")</f>
        <v/>
      </c>
      <c r="J296" s="26" t="str">
        <f>IFERROR(VLOOKUP(VALUE(B296), 'คำนวณ '!A:V, 22, FALSE), "")</f>
        <v/>
      </c>
      <c r="K296" s="27" t="s">
        <v>19</v>
      </c>
      <c r="U296" s="26"/>
      <c r="X296" s="26"/>
    </row>
    <row r="297" ht="15.0" customHeight="1">
      <c r="A297" s="11">
        <v>212.0</v>
      </c>
      <c r="B297" s="18" t="s">
        <v>648</v>
      </c>
      <c r="C297" s="36" t="s">
        <v>649</v>
      </c>
      <c r="D297" s="20" t="s">
        <v>57</v>
      </c>
      <c r="E297" s="21">
        <v>4.0</v>
      </c>
      <c r="F297" s="22" t="s">
        <v>639</v>
      </c>
      <c r="G297" s="23" t="s">
        <v>29</v>
      </c>
      <c r="H297" s="24" t="s">
        <v>11</v>
      </c>
      <c r="I297" s="25">
        <f>IFERROR(VLOOKUP(VALUE(B297), 'คำนวณ '!A:U, 21, FALSE), "")</f>
        <v>1</v>
      </c>
      <c r="J297" s="26">
        <f>IFERROR(VLOOKUP(VALUE(B297), 'คำนวณ '!A:V, 22, FALSE), "")</f>
        <v>1</v>
      </c>
      <c r="K297" s="27" t="s">
        <v>19</v>
      </c>
      <c r="U297" s="26"/>
      <c r="X297" s="26"/>
    </row>
    <row r="298" ht="15.0" customHeight="1">
      <c r="A298" s="11">
        <v>212.0</v>
      </c>
      <c r="B298" s="18" t="s">
        <v>650</v>
      </c>
      <c r="C298" s="36" t="s">
        <v>651</v>
      </c>
      <c r="D298" s="39"/>
      <c r="E298" s="40"/>
      <c r="F298" s="41"/>
      <c r="G298" s="23" t="s">
        <v>29</v>
      </c>
      <c r="H298" s="42"/>
      <c r="I298" s="25" t="str">
        <f>IFERROR(VLOOKUP(VALUE(B298), 'คำนวณ '!A:U, 21, FALSE), "")</f>
        <v/>
      </c>
      <c r="J298" s="26" t="str">
        <f>IFERROR(VLOOKUP(VALUE(B298), 'คำนวณ '!A:V, 22, FALSE), "")</f>
        <v/>
      </c>
      <c r="K298" s="27" t="s">
        <v>19</v>
      </c>
      <c r="U298" s="26"/>
      <c r="X298" s="26"/>
    </row>
    <row r="299" ht="15.0" customHeight="1">
      <c r="A299" s="11">
        <v>212.0</v>
      </c>
      <c r="B299" s="18" t="s">
        <v>652</v>
      </c>
      <c r="C299" s="36" t="s">
        <v>653</v>
      </c>
      <c r="D299" s="20" t="s">
        <v>57</v>
      </c>
      <c r="E299" s="21">
        <v>4.0</v>
      </c>
      <c r="F299" s="22" t="s">
        <v>639</v>
      </c>
      <c r="G299" s="23" t="s">
        <v>29</v>
      </c>
      <c r="H299" s="24" t="s">
        <v>11</v>
      </c>
      <c r="I299" s="25">
        <f>IFERROR(VLOOKUP(VALUE(B299), 'คำนวณ '!A:U, 21, FALSE), "")</f>
        <v>1</v>
      </c>
      <c r="J299" s="26">
        <f>IFERROR(VLOOKUP(VALUE(B299), 'คำนวณ '!A:V, 22, FALSE), "")</f>
        <v>1</v>
      </c>
      <c r="K299" s="27" t="s">
        <v>19</v>
      </c>
      <c r="U299" s="26"/>
      <c r="X299" s="26"/>
    </row>
    <row r="300" ht="15.0" customHeight="1">
      <c r="A300" s="11">
        <v>212.0</v>
      </c>
      <c r="B300" s="18" t="s">
        <v>654</v>
      </c>
      <c r="C300" s="36" t="s">
        <v>655</v>
      </c>
      <c r="D300" s="20" t="s">
        <v>57</v>
      </c>
      <c r="E300" s="21">
        <v>4.0</v>
      </c>
      <c r="F300" s="22" t="s">
        <v>639</v>
      </c>
      <c r="G300" s="23" t="s">
        <v>29</v>
      </c>
      <c r="H300" s="24" t="s">
        <v>11</v>
      </c>
      <c r="I300" s="25">
        <f>IFERROR(VLOOKUP(VALUE(B300), 'คำนวณ '!A:U, 21, FALSE), "")</f>
        <v>1</v>
      </c>
      <c r="J300" s="26">
        <f>IFERROR(VLOOKUP(VALUE(B300), 'คำนวณ '!A:V, 22, FALSE), "")</f>
        <v>1</v>
      </c>
      <c r="K300" s="27" t="s">
        <v>19</v>
      </c>
      <c r="U300" s="26"/>
      <c r="X300" s="26"/>
    </row>
    <row r="301" ht="15.0" customHeight="1">
      <c r="A301" s="11">
        <v>212.0</v>
      </c>
      <c r="B301" s="18" t="s">
        <v>656</v>
      </c>
      <c r="C301" s="36" t="s">
        <v>657</v>
      </c>
      <c r="D301" s="39"/>
      <c r="E301" s="40"/>
      <c r="F301" s="41"/>
      <c r="G301" s="23" t="s">
        <v>29</v>
      </c>
      <c r="H301" s="42"/>
      <c r="I301" s="25" t="str">
        <f>IFERROR(VLOOKUP(VALUE(B301), 'คำนวณ '!A:U, 21, FALSE), "")</f>
        <v/>
      </c>
      <c r="J301" s="26" t="str">
        <f>IFERROR(VLOOKUP(VALUE(B301), 'คำนวณ '!A:V, 22, FALSE), "")</f>
        <v/>
      </c>
      <c r="K301" s="27" t="s">
        <v>19</v>
      </c>
      <c r="U301" s="26"/>
      <c r="X301" s="26"/>
    </row>
    <row r="302" ht="15.0" customHeight="1">
      <c r="A302" s="11">
        <v>212.0</v>
      </c>
      <c r="B302" s="18" t="s">
        <v>658</v>
      </c>
      <c r="C302" s="36" t="s">
        <v>659</v>
      </c>
      <c r="D302" s="20" t="s">
        <v>57</v>
      </c>
      <c r="E302" s="21">
        <v>4.0</v>
      </c>
      <c r="F302" s="22" t="s">
        <v>639</v>
      </c>
      <c r="G302" s="23" t="s">
        <v>29</v>
      </c>
      <c r="H302" s="24" t="s">
        <v>11</v>
      </c>
      <c r="I302" s="25">
        <f>IFERROR(VLOOKUP(VALUE(B302), 'คำนวณ '!A:U, 21, FALSE), "")</f>
        <v>1</v>
      </c>
      <c r="J302" s="26">
        <f>IFERROR(VLOOKUP(VALUE(B302), 'คำนวณ '!A:V, 22, FALSE), "")</f>
        <v>1</v>
      </c>
      <c r="K302" s="27" t="s">
        <v>19</v>
      </c>
      <c r="U302" s="26"/>
      <c r="X302" s="26"/>
    </row>
    <row r="303" ht="15.0" customHeight="1">
      <c r="A303" s="11">
        <v>212.0</v>
      </c>
      <c r="B303" s="18" t="s">
        <v>660</v>
      </c>
      <c r="C303" s="36" t="s">
        <v>661</v>
      </c>
      <c r="D303" s="20" t="s">
        <v>57</v>
      </c>
      <c r="E303" s="21">
        <v>4.0</v>
      </c>
      <c r="F303" s="22" t="s">
        <v>639</v>
      </c>
      <c r="G303" s="23" t="s">
        <v>29</v>
      </c>
      <c r="H303" s="24" t="s">
        <v>11</v>
      </c>
      <c r="I303" s="25">
        <f>IFERROR(VLOOKUP(VALUE(B303), 'คำนวณ '!A:U, 21, FALSE), "")</f>
        <v>1</v>
      </c>
      <c r="J303" s="26">
        <f>IFERROR(VLOOKUP(VALUE(B303), 'คำนวณ '!A:V, 22, FALSE), "")</f>
        <v>1</v>
      </c>
      <c r="K303" s="27" t="s">
        <v>19</v>
      </c>
      <c r="U303" s="26"/>
      <c r="X303" s="26"/>
    </row>
    <row r="304" ht="15.0" customHeight="1">
      <c r="A304" s="11">
        <v>212.0</v>
      </c>
      <c r="B304" s="18" t="s">
        <v>662</v>
      </c>
      <c r="C304" s="36" t="s">
        <v>663</v>
      </c>
      <c r="D304" s="20" t="s">
        <v>57</v>
      </c>
      <c r="E304" s="21">
        <v>4.0</v>
      </c>
      <c r="F304" s="22" t="s">
        <v>639</v>
      </c>
      <c r="G304" s="23" t="s">
        <v>29</v>
      </c>
      <c r="H304" s="24" t="s">
        <v>11</v>
      </c>
      <c r="I304" s="25">
        <f>IFERROR(VLOOKUP(VALUE(B304), 'คำนวณ '!A:U, 21, FALSE), "")</f>
        <v>1</v>
      </c>
      <c r="J304" s="26">
        <f>IFERROR(VLOOKUP(VALUE(B304), 'คำนวณ '!A:V, 22, FALSE), "")</f>
        <v>1</v>
      </c>
      <c r="K304" s="27" t="s">
        <v>19</v>
      </c>
      <c r="U304" s="26"/>
      <c r="X304" s="26"/>
    </row>
    <row r="305" ht="15.0" customHeight="1">
      <c r="A305" s="11">
        <v>212.0</v>
      </c>
      <c r="B305" s="18" t="s">
        <v>664</v>
      </c>
      <c r="C305" s="36" t="s">
        <v>665</v>
      </c>
      <c r="D305" s="39"/>
      <c r="E305" s="40"/>
      <c r="F305" s="41"/>
      <c r="G305" s="23" t="s">
        <v>29</v>
      </c>
      <c r="H305" s="42"/>
      <c r="I305" s="25" t="str">
        <f>IFERROR(VLOOKUP(VALUE(B305), 'คำนวณ '!A:U, 21, FALSE), "")</f>
        <v/>
      </c>
      <c r="J305" s="26" t="str">
        <f>IFERROR(VLOOKUP(VALUE(B305), 'คำนวณ '!A:V, 22, FALSE), "")</f>
        <v/>
      </c>
      <c r="K305" s="27" t="s">
        <v>19</v>
      </c>
      <c r="U305" s="26"/>
      <c r="X305" s="26"/>
    </row>
    <row r="306" ht="15.0" customHeight="1">
      <c r="A306" s="11">
        <v>212.0</v>
      </c>
      <c r="B306" s="18" t="s">
        <v>666</v>
      </c>
      <c r="C306" s="36" t="s">
        <v>667</v>
      </c>
      <c r="D306" s="20" t="s">
        <v>57</v>
      </c>
      <c r="E306" s="21">
        <v>4.0</v>
      </c>
      <c r="F306" s="22" t="s">
        <v>639</v>
      </c>
      <c r="G306" s="23" t="s">
        <v>29</v>
      </c>
      <c r="H306" s="24" t="s">
        <v>11</v>
      </c>
      <c r="I306" s="25">
        <f>IFERROR(VLOOKUP(VALUE(B306), 'คำนวณ '!A:U, 21, FALSE), "")</f>
        <v>1</v>
      </c>
      <c r="J306" s="26">
        <f>IFERROR(VLOOKUP(VALUE(B306), 'คำนวณ '!A:V, 22, FALSE), "")</f>
        <v>1</v>
      </c>
      <c r="K306" s="27" t="s">
        <v>19</v>
      </c>
      <c r="U306" s="26"/>
      <c r="X306" s="26"/>
    </row>
    <row r="307" ht="15.0" customHeight="1">
      <c r="A307" s="11">
        <v>212.0</v>
      </c>
      <c r="B307" s="18" t="s">
        <v>668</v>
      </c>
      <c r="C307" s="36" t="s">
        <v>669</v>
      </c>
      <c r="D307" s="39"/>
      <c r="E307" s="40"/>
      <c r="F307" s="41"/>
      <c r="G307" s="23" t="s">
        <v>29</v>
      </c>
      <c r="H307" s="42"/>
      <c r="I307" s="25" t="str">
        <f>IFERROR(VLOOKUP(VALUE(B307), 'คำนวณ '!A:U, 21, FALSE), "")</f>
        <v/>
      </c>
      <c r="J307" s="26" t="str">
        <f>IFERROR(VLOOKUP(VALUE(B307), 'คำนวณ '!A:V, 22, FALSE), "")</f>
        <v/>
      </c>
      <c r="K307" s="27" t="s">
        <v>19</v>
      </c>
      <c r="U307" s="26"/>
      <c r="X307" s="26"/>
    </row>
    <row r="308" ht="15.0" customHeight="1">
      <c r="A308" s="11">
        <v>212.0</v>
      </c>
      <c r="B308" s="18" t="s">
        <v>670</v>
      </c>
      <c r="C308" s="36" t="s">
        <v>671</v>
      </c>
      <c r="D308" s="20" t="s">
        <v>57</v>
      </c>
      <c r="E308" s="21">
        <v>4.0</v>
      </c>
      <c r="F308" s="22" t="s">
        <v>639</v>
      </c>
      <c r="G308" s="23" t="s">
        <v>29</v>
      </c>
      <c r="H308" s="24" t="s">
        <v>11</v>
      </c>
      <c r="I308" s="25">
        <f>IFERROR(VLOOKUP(VALUE(B308), 'คำนวณ '!A:U, 21, FALSE), "")</f>
        <v>1</v>
      </c>
      <c r="J308" s="26">
        <f>IFERROR(VLOOKUP(VALUE(B308), 'คำนวณ '!A:V, 22, FALSE), "")</f>
        <v>1</v>
      </c>
      <c r="K308" s="27" t="s">
        <v>19</v>
      </c>
      <c r="U308" s="26"/>
      <c r="X308" s="26"/>
    </row>
    <row r="309" ht="15.0" customHeight="1">
      <c r="A309" s="11">
        <v>212.0</v>
      </c>
      <c r="B309" s="18" t="s">
        <v>672</v>
      </c>
      <c r="C309" s="36" t="s">
        <v>673</v>
      </c>
      <c r="D309" s="39"/>
      <c r="E309" s="40"/>
      <c r="F309" s="41"/>
      <c r="G309" s="23" t="s">
        <v>29</v>
      </c>
      <c r="H309" s="42"/>
      <c r="I309" s="25" t="str">
        <f>IFERROR(VLOOKUP(VALUE(B309), 'คำนวณ '!A:U, 21, FALSE), "")</f>
        <v/>
      </c>
      <c r="J309" s="26" t="str">
        <f>IFERROR(VLOOKUP(VALUE(B309), 'คำนวณ '!A:V, 22, FALSE), "")</f>
        <v/>
      </c>
      <c r="K309" s="27" t="s">
        <v>19</v>
      </c>
      <c r="U309" s="26"/>
      <c r="X309" s="26"/>
    </row>
    <row r="310" ht="15.0" customHeight="1">
      <c r="A310" s="11">
        <v>213.0</v>
      </c>
      <c r="B310" s="18" t="s">
        <v>674</v>
      </c>
      <c r="C310" s="36" t="s">
        <v>675</v>
      </c>
      <c r="D310" s="39"/>
      <c r="E310" s="40"/>
      <c r="F310" s="41"/>
      <c r="G310" s="23" t="s">
        <v>29</v>
      </c>
      <c r="H310" s="42"/>
      <c r="I310" s="25" t="str">
        <f>IFERROR(VLOOKUP(VALUE(B310), 'คำนวณ '!A:U, 21, FALSE), "")</f>
        <v/>
      </c>
      <c r="J310" s="26" t="str">
        <f>IFERROR(VLOOKUP(VALUE(B310), 'คำนวณ '!A:V, 22, FALSE), "")</f>
        <v/>
      </c>
      <c r="K310" s="27" t="s">
        <v>19</v>
      </c>
      <c r="U310" s="26"/>
      <c r="X310" s="26"/>
    </row>
    <row r="311" ht="15.0" customHeight="1">
      <c r="A311" s="11">
        <v>213.0</v>
      </c>
      <c r="B311" s="18" t="s">
        <v>676</v>
      </c>
      <c r="C311" s="36" t="s">
        <v>677</v>
      </c>
      <c r="D311" s="20" t="s">
        <v>53</v>
      </c>
      <c r="E311" s="21">
        <v>8.0</v>
      </c>
      <c r="F311" s="22" t="s">
        <v>590</v>
      </c>
      <c r="G311" s="23" t="s">
        <v>29</v>
      </c>
      <c r="H311" s="24" t="s">
        <v>11</v>
      </c>
      <c r="I311" s="25">
        <f>IFERROR(VLOOKUP(VALUE(B311), 'คำนวณ '!A:U, 21, FALSE), "")</f>
        <v>1</v>
      </c>
      <c r="J311" s="26">
        <f>IFERROR(VLOOKUP(VALUE(B311), 'คำนวณ '!A:V, 22, FALSE), "")</f>
        <v>1</v>
      </c>
      <c r="K311" s="27" t="s">
        <v>19</v>
      </c>
      <c r="U311" s="26"/>
      <c r="X311" s="26"/>
    </row>
    <row r="312" ht="15.0" customHeight="1">
      <c r="A312" s="11">
        <v>213.0</v>
      </c>
      <c r="B312" s="18" t="s">
        <v>678</v>
      </c>
      <c r="C312" s="36" t="s">
        <v>679</v>
      </c>
      <c r="D312" s="20" t="s">
        <v>60</v>
      </c>
      <c r="E312" s="21">
        <v>4.0</v>
      </c>
      <c r="F312" s="22" t="s">
        <v>38</v>
      </c>
      <c r="G312" s="23" t="s">
        <v>29</v>
      </c>
      <c r="H312" s="24" t="s">
        <v>11</v>
      </c>
      <c r="I312" s="25">
        <f>IFERROR(VLOOKUP(VALUE(B312), 'คำนวณ '!A:U, 21, FALSE), "")</f>
        <v>1</v>
      </c>
      <c r="J312" s="26">
        <f>IFERROR(VLOOKUP(VALUE(B312), 'คำนวณ '!A:V, 22, FALSE), "")</f>
        <v>1</v>
      </c>
      <c r="K312" s="27" t="s">
        <v>19</v>
      </c>
      <c r="U312" s="26"/>
      <c r="X312" s="26"/>
    </row>
    <row r="313" ht="15.0" customHeight="1">
      <c r="A313" s="11">
        <v>213.0</v>
      </c>
      <c r="B313" s="18" t="s">
        <v>680</v>
      </c>
      <c r="C313" s="36" t="s">
        <v>681</v>
      </c>
      <c r="D313" s="20" t="s">
        <v>60</v>
      </c>
      <c r="E313" s="21">
        <v>4.0</v>
      </c>
      <c r="F313" s="22" t="s">
        <v>38</v>
      </c>
      <c r="G313" s="23" t="s">
        <v>29</v>
      </c>
      <c r="H313" s="24" t="s">
        <v>11</v>
      </c>
      <c r="I313" s="25" t="str">
        <f>IFERROR(VLOOKUP(VALUE(B313), 'คำนวณ '!A:U, 21, FALSE), "")</f>
        <v/>
      </c>
      <c r="J313" s="26" t="str">
        <f>IFERROR(VLOOKUP(VALUE(B313), 'คำนวณ '!A:V, 22, FALSE), "")</f>
        <v/>
      </c>
      <c r="K313" s="27" t="s">
        <v>19</v>
      </c>
      <c r="U313" s="26"/>
      <c r="X313" s="26"/>
    </row>
    <row r="314" ht="15.0" customHeight="1">
      <c r="A314" s="11">
        <v>213.0</v>
      </c>
      <c r="B314" s="18" t="s">
        <v>682</v>
      </c>
      <c r="C314" s="36" t="s">
        <v>683</v>
      </c>
      <c r="D314" s="20" t="s">
        <v>57</v>
      </c>
      <c r="E314" s="21">
        <v>4.0</v>
      </c>
      <c r="F314" s="22" t="s">
        <v>639</v>
      </c>
      <c r="G314" s="23" t="s">
        <v>29</v>
      </c>
      <c r="H314" s="24" t="s">
        <v>11</v>
      </c>
      <c r="I314" s="25">
        <f>IFERROR(VLOOKUP(VALUE(B314), 'คำนวณ '!A:U, 21, FALSE), "")</f>
        <v>1</v>
      </c>
      <c r="J314" s="26">
        <f>IFERROR(VLOOKUP(VALUE(B314), 'คำนวณ '!A:V, 22, FALSE), "")</f>
        <v>1</v>
      </c>
      <c r="K314" s="27" t="s">
        <v>19</v>
      </c>
      <c r="U314" s="26"/>
      <c r="X314" s="26"/>
    </row>
    <row r="315" ht="15.0" customHeight="1">
      <c r="A315" s="11">
        <v>213.0</v>
      </c>
      <c r="B315" s="18" t="s">
        <v>684</v>
      </c>
      <c r="C315" s="36" t="s">
        <v>685</v>
      </c>
      <c r="D315" s="39"/>
      <c r="E315" s="40"/>
      <c r="F315" s="41"/>
      <c r="G315" s="23" t="s">
        <v>29</v>
      </c>
      <c r="H315" s="42"/>
      <c r="I315" s="25" t="str">
        <f>IFERROR(VLOOKUP(VALUE(B315), 'คำนวณ '!A:U, 21, FALSE), "")</f>
        <v/>
      </c>
      <c r="J315" s="26" t="str">
        <f>IFERROR(VLOOKUP(VALUE(B315), 'คำนวณ '!A:V, 22, FALSE), "")</f>
        <v/>
      </c>
      <c r="K315" s="27" t="s">
        <v>19</v>
      </c>
      <c r="U315" s="26"/>
      <c r="X315" s="26"/>
    </row>
    <row r="316" ht="15.0" customHeight="1">
      <c r="A316" s="11">
        <v>213.0</v>
      </c>
      <c r="B316" s="18" t="s">
        <v>686</v>
      </c>
      <c r="C316" s="36" t="s">
        <v>687</v>
      </c>
      <c r="D316" s="20" t="s">
        <v>57</v>
      </c>
      <c r="E316" s="21">
        <v>4.0</v>
      </c>
      <c r="F316" s="22" t="s">
        <v>639</v>
      </c>
      <c r="G316" s="23" t="s">
        <v>29</v>
      </c>
      <c r="H316" s="24" t="s">
        <v>11</v>
      </c>
      <c r="I316" s="25">
        <f>IFERROR(VLOOKUP(VALUE(B316), 'คำนวณ '!A:U, 21, FALSE), "")</f>
        <v>1</v>
      </c>
      <c r="J316" s="26">
        <f>IFERROR(VLOOKUP(VALUE(B316), 'คำนวณ '!A:V, 22, FALSE), "")</f>
        <v>1</v>
      </c>
      <c r="K316" s="27" t="s">
        <v>19</v>
      </c>
      <c r="U316" s="26"/>
      <c r="X316" s="26"/>
    </row>
    <row r="317" ht="15.0" customHeight="1">
      <c r="A317" s="11">
        <v>213.0</v>
      </c>
      <c r="B317" s="18" t="s">
        <v>688</v>
      </c>
      <c r="C317" s="36" t="s">
        <v>689</v>
      </c>
      <c r="D317" s="39"/>
      <c r="E317" s="60"/>
      <c r="F317" s="61"/>
      <c r="G317" s="23" t="s">
        <v>29</v>
      </c>
      <c r="H317" s="24" t="s">
        <v>11</v>
      </c>
      <c r="I317" s="25" t="str">
        <f>IFERROR(VLOOKUP(VALUE(B317), 'คำนวณ '!A:U, 21, FALSE), "")</f>
        <v/>
      </c>
      <c r="J317" s="26" t="str">
        <f>IFERROR(VLOOKUP(VALUE(B317), 'คำนวณ '!A:V, 22, FALSE), "")</f>
        <v/>
      </c>
      <c r="K317" s="27" t="s">
        <v>19</v>
      </c>
      <c r="U317" s="26"/>
      <c r="X317" s="26"/>
    </row>
    <row r="318" ht="15.0" customHeight="1">
      <c r="A318" s="11">
        <v>213.0</v>
      </c>
      <c r="B318" s="18" t="s">
        <v>690</v>
      </c>
      <c r="C318" s="36" t="s">
        <v>691</v>
      </c>
      <c r="D318" s="20" t="s">
        <v>57</v>
      </c>
      <c r="E318" s="21">
        <v>4.0</v>
      </c>
      <c r="F318" s="22" t="s">
        <v>639</v>
      </c>
      <c r="G318" s="23" t="s">
        <v>29</v>
      </c>
      <c r="H318" s="24" t="s">
        <v>11</v>
      </c>
      <c r="I318" s="25">
        <f>IFERROR(VLOOKUP(VALUE(B318), 'คำนวณ '!A:U, 21, FALSE), "")</f>
        <v>1</v>
      </c>
      <c r="J318" s="26">
        <f>IFERROR(VLOOKUP(VALUE(B318), 'คำนวณ '!A:V, 22, FALSE), "")</f>
        <v>1</v>
      </c>
      <c r="K318" s="27" t="s">
        <v>19</v>
      </c>
      <c r="U318" s="26"/>
      <c r="X318" s="26"/>
    </row>
    <row r="319" ht="15.0" customHeight="1">
      <c r="A319" s="11">
        <v>213.0</v>
      </c>
      <c r="B319" s="18" t="s">
        <v>692</v>
      </c>
      <c r="C319" s="36" t="s">
        <v>693</v>
      </c>
      <c r="D319" s="20" t="s">
        <v>57</v>
      </c>
      <c r="E319" s="21">
        <v>4.0</v>
      </c>
      <c r="F319" s="22" t="s">
        <v>639</v>
      </c>
      <c r="G319" s="23" t="s">
        <v>29</v>
      </c>
      <c r="H319" s="24" t="s">
        <v>11</v>
      </c>
      <c r="I319" s="25">
        <f>IFERROR(VLOOKUP(VALUE(B319), 'คำนวณ '!A:U, 21, FALSE), "")</f>
        <v>1</v>
      </c>
      <c r="J319" s="26">
        <f>IFERROR(VLOOKUP(VALUE(B319), 'คำนวณ '!A:V, 22, FALSE), "")</f>
        <v>1</v>
      </c>
      <c r="K319" s="27" t="s">
        <v>19</v>
      </c>
      <c r="U319" s="26"/>
      <c r="X319" s="26"/>
    </row>
    <row r="320" ht="15.0" customHeight="1">
      <c r="A320" s="11">
        <v>213.0</v>
      </c>
      <c r="B320" s="18" t="s">
        <v>694</v>
      </c>
      <c r="C320" s="36" t="s">
        <v>695</v>
      </c>
      <c r="D320" s="20" t="s">
        <v>57</v>
      </c>
      <c r="E320" s="21">
        <v>4.0</v>
      </c>
      <c r="F320" s="22" t="s">
        <v>639</v>
      </c>
      <c r="G320" s="23" t="s">
        <v>29</v>
      </c>
      <c r="H320" s="24" t="s">
        <v>11</v>
      </c>
      <c r="I320" s="25">
        <f>IFERROR(VLOOKUP(VALUE(B320), 'คำนวณ '!A:U, 21, FALSE), "")</f>
        <v>1</v>
      </c>
      <c r="J320" s="26">
        <f>IFERROR(VLOOKUP(VALUE(B320), 'คำนวณ '!A:V, 22, FALSE), "")</f>
        <v>1</v>
      </c>
      <c r="K320" s="27" t="s">
        <v>19</v>
      </c>
      <c r="U320" s="26"/>
      <c r="X320" s="26"/>
    </row>
    <row r="321" ht="15.0" customHeight="1">
      <c r="A321" s="11">
        <v>213.0</v>
      </c>
      <c r="B321" s="18" t="s">
        <v>696</v>
      </c>
      <c r="C321" s="36" t="s">
        <v>697</v>
      </c>
      <c r="D321" s="20" t="s">
        <v>57</v>
      </c>
      <c r="E321" s="21">
        <v>4.0</v>
      </c>
      <c r="F321" s="22" t="s">
        <v>639</v>
      </c>
      <c r="G321" s="23" t="s">
        <v>29</v>
      </c>
      <c r="H321" s="24" t="s">
        <v>11</v>
      </c>
      <c r="I321" s="25">
        <f>IFERROR(VLOOKUP(VALUE(B321), 'คำนวณ '!A:U, 21, FALSE), "")</f>
        <v>1</v>
      </c>
      <c r="J321" s="26">
        <f>IFERROR(VLOOKUP(VALUE(B321), 'คำนวณ '!A:V, 22, FALSE), "")</f>
        <v>1</v>
      </c>
      <c r="K321" s="27" t="s">
        <v>19</v>
      </c>
      <c r="U321" s="26"/>
      <c r="X321" s="26"/>
    </row>
    <row r="322" ht="15.0" customHeight="1">
      <c r="A322" s="11">
        <v>213.0</v>
      </c>
      <c r="B322" s="18" t="s">
        <v>698</v>
      </c>
      <c r="C322" s="36" t="s">
        <v>699</v>
      </c>
      <c r="D322" s="20" t="s">
        <v>57</v>
      </c>
      <c r="E322" s="21">
        <v>4.0</v>
      </c>
      <c r="F322" s="22" t="s">
        <v>639</v>
      </c>
      <c r="G322" s="23" t="s">
        <v>29</v>
      </c>
      <c r="H322" s="24" t="s">
        <v>11</v>
      </c>
      <c r="I322" s="25">
        <f>IFERROR(VLOOKUP(VALUE(B322), 'คำนวณ '!A:U, 21, FALSE), "")</f>
        <v>1</v>
      </c>
      <c r="J322" s="26">
        <f>IFERROR(VLOOKUP(VALUE(B322), 'คำนวณ '!A:V, 22, FALSE), "")</f>
        <v>1</v>
      </c>
      <c r="K322" s="27" t="s">
        <v>19</v>
      </c>
      <c r="U322" s="26"/>
      <c r="X322" s="26"/>
    </row>
    <row r="323" ht="15.0" customHeight="1">
      <c r="A323" s="11">
        <v>213.0</v>
      </c>
      <c r="B323" s="18" t="s">
        <v>700</v>
      </c>
      <c r="C323" s="36" t="s">
        <v>701</v>
      </c>
      <c r="D323" s="20" t="s">
        <v>57</v>
      </c>
      <c r="E323" s="21">
        <v>4.0</v>
      </c>
      <c r="F323" s="22" t="s">
        <v>639</v>
      </c>
      <c r="G323" s="23" t="s">
        <v>29</v>
      </c>
      <c r="H323" s="24" t="s">
        <v>11</v>
      </c>
      <c r="I323" s="25">
        <f>IFERROR(VLOOKUP(VALUE(B323), 'คำนวณ '!A:U, 21, FALSE), "")</f>
        <v>1</v>
      </c>
      <c r="J323" s="26">
        <f>IFERROR(VLOOKUP(VALUE(B323), 'คำนวณ '!A:V, 22, FALSE), "")</f>
        <v>1</v>
      </c>
      <c r="K323" s="27" t="s">
        <v>19</v>
      </c>
      <c r="U323" s="26"/>
      <c r="X323" s="26"/>
    </row>
    <row r="324" ht="15.0" customHeight="1">
      <c r="A324" s="11">
        <v>214.0</v>
      </c>
      <c r="B324" s="18" t="s">
        <v>702</v>
      </c>
      <c r="C324" s="36" t="s">
        <v>703</v>
      </c>
      <c r="D324" s="39"/>
      <c r="E324" s="40"/>
      <c r="F324" s="41"/>
      <c r="G324" s="23" t="s">
        <v>29</v>
      </c>
      <c r="H324" s="42"/>
      <c r="I324" s="25" t="str">
        <f>IFERROR(VLOOKUP(VALUE(B324), 'คำนวณ '!A:U, 21, FALSE), "")</f>
        <v/>
      </c>
      <c r="J324" s="26" t="str">
        <f>IFERROR(VLOOKUP(VALUE(B324), 'คำนวณ '!A:V, 22, FALSE), "")</f>
        <v/>
      </c>
      <c r="K324" s="27" t="s">
        <v>19</v>
      </c>
      <c r="U324" s="26"/>
      <c r="X324" s="26"/>
    </row>
    <row r="325" ht="15.0" customHeight="1">
      <c r="A325" s="11">
        <v>214.0</v>
      </c>
      <c r="B325" s="18" t="s">
        <v>704</v>
      </c>
      <c r="C325" s="36" t="s">
        <v>705</v>
      </c>
      <c r="D325" s="20" t="s">
        <v>57</v>
      </c>
      <c r="E325" s="21">
        <v>2.0</v>
      </c>
      <c r="F325" s="22" t="s">
        <v>83</v>
      </c>
      <c r="G325" s="23" t="s">
        <v>29</v>
      </c>
      <c r="H325" s="24" t="s">
        <v>11</v>
      </c>
      <c r="I325" s="25">
        <f>IFERROR(VLOOKUP(VALUE(B325), 'คำนวณ '!A:U, 21, FALSE), "")</f>
        <v>1</v>
      </c>
      <c r="J325" s="26">
        <f>IFERROR(VLOOKUP(VALUE(B325), 'คำนวณ '!A:V, 22, FALSE), "")</f>
        <v>1</v>
      </c>
      <c r="K325" s="27" t="s">
        <v>19</v>
      </c>
      <c r="U325" s="26"/>
      <c r="X325" s="26"/>
    </row>
    <row r="326" ht="15.0" customHeight="1">
      <c r="A326" s="11">
        <v>214.0</v>
      </c>
      <c r="B326" s="18" t="s">
        <v>706</v>
      </c>
      <c r="C326" s="36" t="s">
        <v>707</v>
      </c>
      <c r="D326" s="39"/>
      <c r="E326" s="40"/>
      <c r="F326" s="41"/>
      <c r="G326" s="23" t="s">
        <v>29</v>
      </c>
      <c r="H326" s="42"/>
      <c r="I326" s="25" t="str">
        <f>IFERROR(VLOOKUP(VALUE(B326), 'คำนวณ '!A:U, 21, FALSE), "")</f>
        <v/>
      </c>
      <c r="J326" s="26" t="str">
        <f>IFERROR(VLOOKUP(VALUE(B326), 'คำนวณ '!A:V, 22, FALSE), "")</f>
        <v/>
      </c>
      <c r="K326" s="27" t="s">
        <v>19</v>
      </c>
      <c r="U326" s="26"/>
      <c r="X326" s="26"/>
    </row>
    <row r="327" ht="15.0" customHeight="1">
      <c r="A327" s="11">
        <v>214.0</v>
      </c>
      <c r="B327" s="18" t="s">
        <v>708</v>
      </c>
      <c r="C327" s="36" t="s">
        <v>709</v>
      </c>
      <c r="D327" s="20" t="s">
        <v>57</v>
      </c>
      <c r="E327" s="21">
        <v>2.0</v>
      </c>
      <c r="F327" s="22" t="s">
        <v>83</v>
      </c>
      <c r="G327" s="23" t="s">
        <v>29</v>
      </c>
      <c r="H327" s="24" t="s">
        <v>11</v>
      </c>
      <c r="I327" s="25">
        <f>IFERROR(VLOOKUP(VALUE(B327), 'คำนวณ '!A:U, 21, FALSE), "")</f>
        <v>1</v>
      </c>
      <c r="J327" s="26">
        <f>IFERROR(VLOOKUP(VALUE(B327), 'คำนวณ '!A:V, 22, FALSE), "")</f>
        <v>1</v>
      </c>
      <c r="K327" s="27" t="s">
        <v>19</v>
      </c>
      <c r="U327" s="26"/>
      <c r="X327" s="26"/>
    </row>
    <row r="328" ht="15.0" customHeight="1">
      <c r="A328" s="11">
        <v>214.0</v>
      </c>
      <c r="B328" s="18" t="s">
        <v>710</v>
      </c>
      <c r="C328" s="36" t="s">
        <v>711</v>
      </c>
      <c r="D328" s="20" t="s">
        <v>63</v>
      </c>
      <c r="E328" s="21">
        <v>4.0</v>
      </c>
      <c r="F328" s="22" t="s">
        <v>38</v>
      </c>
      <c r="G328" s="23" t="s">
        <v>29</v>
      </c>
      <c r="H328" s="24" t="s">
        <v>11</v>
      </c>
      <c r="I328" s="25">
        <f>IFERROR(VLOOKUP(VALUE(B328), 'คำนวณ '!A:U, 21, FALSE), "")</f>
        <v>1</v>
      </c>
      <c r="J328" s="26">
        <f>IFERROR(VLOOKUP(VALUE(B328), 'คำนวณ '!A:V, 22, FALSE), "")</f>
        <v>1</v>
      </c>
      <c r="K328" s="27" t="s">
        <v>19</v>
      </c>
      <c r="U328" s="26"/>
      <c r="X328" s="26"/>
    </row>
    <row r="329" ht="15.0" customHeight="1">
      <c r="A329" s="11">
        <v>214.0</v>
      </c>
      <c r="B329" s="18" t="s">
        <v>712</v>
      </c>
      <c r="C329" s="36" t="s">
        <v>713</v>
      </c>
      <c r="D329" s="39"/>
      <c r="E329" s="40"/>
      <c r="F329" s="41"/>
      <c r="G329" s="23" t="s">
        <v>29</v>
      </c>
      <c r="H329" s="42"/>
      <c r="I329" s="25" t="str">
        <f>IFERROR(VLOOKUP(VALUE(B329), 'คำนวณ '!A:U, 21, FALSE), "")</f>
        <v/>
      </c>
      <c r="J329" s="26" t="str">
        <f>IFERROR(VLOOKUP(VALUE(B329), 'คำนวณ '!A:V, 22, FALSE), "")</f>
        <v/>
      </c>
      <c r="K329" s="27" t="s">
        <v>19</v>
      </c>
      <c r="U329" s="26"/>
      <c r="X329" s="26"/>
    </row>
    <row r="330" ht="15.0" customHeight="1">
      <c r="A330" s="11">
        <v>214.0</v>
      </c>
      <c r="B330" s="18" t="s">
        <v>714</v>
      </c>
      <c r="C330" s="36" t="s">
        <v>715</v>
      </c>
      <c r="D330" s="39"/>
      <c r="E330" s="40"/>
      <c r="F330" s="41"/>
      <c r="G330" s="23" t="s">
        <v>29</v>
      </c>
      <c r="H330" s="42"/>
      <c r="I330" s="25" t="str">
        <f>IFERROR(VLOOKUP(VALUE(B330), 'คำนวณ '!A:U, 21, FALSE), "")</f>
        <v/>
      </c>
      <c r="J330" s="26" t="str">
        <f>IFERROR(VLOOKUP(VALUE(B330), 'คำนวณ '!A:V, 22, FALSE), "")</f>
        <v/>
      </c>
      <c r="K330" s="27" t="s">
        <v>19</v>
      </c>
      <c r="U330" s="26"/>
      <c r="X330" s="26"/>
    </row>
    <row r="331" ht="15.0" customHeight="1">
      <c r="A331" s="11">
        <v>214.0</v>
      </c>
      <c r="B331" s="18" t="s">
        <v>716</v>
      </c>
      <c r="C331" s="36" t="s">
        <v>717</v>
      </c>
      <c r="D331" s="39"/>
      <c r="E331" s="40"/>
      <c r="F331" s="41"/>
      <c r="G331" s="23" t="s">
        <v>29</v>
      </c>
      <c r="H331" s="42"/>
      <c r="I331" s="25" t="str">
        <f>IFERROR(VLOOKUP(VALUE(B331), 'คำนวณ '!A:U, 21, FALSE), "")</f>
        <v/>
      </c>
      <c r="J331" s="26" t="str">
        <f>IFERROR(VLOOKUP(VALUE(B331), 'คำนวณ '!A:V, 22, FALSE), "")</f>
        <v/>
      </c>
      <c r="K331" s="27" t="s">
        <v>19</v>
      </c>
      <c r="U331" s="26"/>
      <c r="X331" s="26"/>
    </row>
    <row r="332" ht="15.0" customHeight="1">
      <c r="A332" s="11">
        <v>221.0</v>
      </c>
      <c r="B332" s="18" t="s">
        <v>718</v>
      </c>
      <c r="C332" s="36" t="s">
        <v>719</v>
      </c>
      <c r="D332" s="39"/>
      <c r="E332" s="40"/>
      <c r="F332" s="41"/>
      <c r="G332" s="23" t="s">
        <v>29</v>
      </c>
      <c r="H332" s="42"/>
      <c r="I332" s="25" t="str">
        <f>IFERROR(VLOOKUP(VALUE(B332), 'คำนวณ '!A:U, 21, FALSE), "")</f>
        <v/>
      </c>
      <c r="J332" s="26" t="str">
        <f>IFERROR(VLOOKUP(VALUE(B332), 'คำนวณ '!A:V, 22, FALSE), "")</f>
        <v/>
      </c>
      <c r="K332" s="27" t="s">
        <v>19</v>
      </c>
      <c r="U332" s="26"/>
      <c r="X332" s="26"/>
    </row>
    <row r="333" ht="15.0" customHeight="1">
      <c r="A333" s="11">
        <v>221.0</v>
      </c>
      <c r="B333" s="18" t="s">
        <v>720</v>
      </c>
      <c r="C333" s="36" t="s">
        <v>721</v>
      </c>
      <c r="D333" s="39"/>
      <c r="E333" s="40"/>
      <c r="F333" s="41"/>
      <c r="G333" s="23" t="s">
        <v>29</v>
      </c>
      <c r="H333" s="42"/>
      <c r="I333" s="25" t="str">
        <f>IFERROR(VLOOKUP(VALUE(B333), 'คำนวณ '!A:U, 21, FALSE), "")</f>
        <v/>
      </c>
      <c r="J333" s="26" t="str">
        <f>IFERROR(VLOOKUP(VALUE(B333), 'คำนวณ '!A:V, 22, FALSE), "")</f>
        <v/>
      </c>
      <c r="K333" s="27" t="s">
        <v>19</v>
      </c>
      <c r="U333" s="26"/>
      <c r="X333" s="26"/>
    </row>
    <row r="334" ht="15.0" customHeight="1">
      <c r="A334" s="11">
        <v>221.0</v>
      </c>
      <c r="B334" s="18" t="s">
        <v>722</v>
      </c>
      <c r="C334" s="36" t="s">
        <v>723</v>
      </c>
      <c r="D334" s="20" t="s">
        <v>32</v>
      </c>
      <c r="E334" s="21">
        <v>4.0</v>
      </c>
      <c r="F334" s="22" t="s">
        <v>38</v>
      </c>
      <c r="G334" s="23" t="s">
        <v>29</v>
      </c>
      <c r="H334" s="24" t="s">
        <v>11</v>
      </c>
      <c r="I334" s="25">
        <f>IFERROR(VLOOKUP(VALUE(B334), 'คำนวณ '!A:U, 21, FALSE), "")</f>
        <v>1</v>
      </c>
      <c r="J334" s="26">
        <f>IFERROR(VLOOKUP(VALUE(B334), 'คำนวณ '!A:V, 22, FALSE), "")</f>
        <v>1</v>
      </c>
      <c r="K334" s="27" t="s">
        <v>19</v>
      </c>
      <c r="U334" s="26"/>
      <c r="X334" s="26"/>
    </row>
    <row r="335" ht="15.0" customHeight="1">
      <c r="A335" s="11">
        <v>221.0</v>
      </c>
      <c r="B335" s="18" t="s">
        <v>724</v>
      </c>
      <c r="C335" s="36" t="s">
        <v>725</v>
      </c>
      <c r="D335" s="20" t="s">
        <v>32</v>
      </c>
      <c r="E335" s="21">
        <v>4.0</v>
      </c>
      <c r="F335" s="22" t="s">
        <v>38</v>
      </c>
      <c r="G335" s="23" t="s">
        <v>29</v>
      </c>
      <c r="H335" s="24" t="s">
        <v>11</v>
      </c>
      <c r="I335" s="25" t="str">
        <f>IFERROR(VLOOKUP(VALUE(B335), 'คำนวณ '!A:U, 21, FALSE), "")</f>
        <v/>
      </c>
      <c r="J335" s="26" t="str">
        <f>IFERROR(VLOOKUP(VALUE(B335), 'คำนวณ '!A:V, 22, FALSE), "")</f>
        <v/>
      </c>
      <c r="K335" s="27" t="s">
        <v>19</v>
      </c>
      <c r="U335" s="26"/>
      <c r="X335" s="26"/>
    </row>
    <row r="336" ht="15.0" customHeight="1">
      <c r="A336" s="11">
        <v>221.0</v>
      </c>
      <c r="B336" s="18" t="s">
        <v>726</v>
      </c>
      <c r="C336" s="36" t="s">
        <v>727</v>
      </c>
      <c r="D336" s="20" t="s">
        <v>32</v>
      </c>
      <c r="E336" s="21">
        <v>4.0</v>
      </c>
      <c r="F336" s="22" t="s">
        <v>38</v>
      </c>
      <c r="G336" s="23" t="s">
        <v>29</v>
      </c>
      <c r="H336" s="24" t="s">
        <v>11</v>
      </c>
      <c r="I336" s="25">
        <f>IFERROR(VLOOKUP(VALUE(B336), 'คำนวณ '!A:U, 21, FALSE), "")</f>
        <v>1</v>
      </c>
      <c r="J336" s="26">
        <f>IFERROR(VLOOKUP(VALUE(B336), 'คำนวณ '!A:V, 22, FALSE), "")</f>
        <v>1</v>
      </c>
      <c r="K336" s="27" t="s">
        <v>19</v>
      </c>
      <c r="U336" s="26"/>
      <c r="X336" s="26"/>
    </row>
    <row r="337" ht="15.0" customHeight="1">
      <c r="A337" s="11">
        <v>221.0</v>
      </c>
      <c r="B337" s="18" t="s">
        <v>728</v>
      </c>
      <c r="C337" s="36" t="s">
        <v>729</v>
      </c>
      <c r="D337" s="39"/>
      <c r="E337" s="40"/>
      <c r="F337" s="41"/>
      <c r="G337" s="23" t="s">
        <v>29</v>
      </c>
      <c r="H337" s="42"/>
      <c r="I337" s="25" t="str">
        <f>IFERROR(VLOOKUP(VALUE(B337), 'คำนวณ '!A:U, 21, FALSE), "")</f>
        <v/>
      </c>
      <c r="J337" s="26" t="str">
        <f>IFERROR(VLOOKUP(VALUE(B337), 'คำนวณ '!A:V, 22, FALSE), "")</f>
        <v/>
      </c>
      <c r="K337" s="27" t="s">
        <v>19</v>
      </c>
      <c r="U337" s="26"/>
      <c r="X337" s="26"/>
    </row>
    <row r="338" ht="15.0" customHeight="1">
      <c r="A338" s="11">
        <v>221.0</v>
      </c>
      <c r="B338" s="18" t="s">
        <v>730</v>
      </c>
      <c r="C338" s="36" t="s">
        <v>731</v>
      </c>
      <c r="D338" s="39"/>
      <c r="E338" s="40"/>
      <c r="F338" s="41"/>
      <c r="G338" s="23" t="s">
        <v>29</v>
      </c>
      <c r="H338" s="42"/>
      <c r="I338" s="25" t="str">
        <f>IFERROR(VLOOKUP(VALUE(B338), 'คำนวณ '!A:U, 21, FALSE), "")</f>
        <v/>
      </c>
      <c r="J338" s="26" t="str">
        <f>IFERROR(VLOOKUP(VALUE(B338), 'คำนวณ '!A:V, 22, FALSE), "")</f>
        <v/>
      </c>
      <c r="K338" s="27" t="s">
        <v>19</v>
      </c>
      <c r="U338" s="26"/>
      <c r="X338" s="26"/>
    </row>
    <row r="339" ht="15.0" customHeight="1">
      <c r="A339" s="11">
        <v>221.0</v>
      </c>
      <c r="B339" s="18" t="s">
        <v>732</v>
      </c>
      <c r="C339" s="36" t="s">
        <v>733</v>
      </c>
      <c r="D339" s="20" t="s">
        <v>32</v>
      </c>
      <c r="E339" s="21">
        <v>4.0</v>
      </c>
      <c r="F339" s="22" t="s">
        <v>38</v>
      </c>
      <c r="G339" s="23" t="s">
        <v>29</v>
      </c>
      <c r="H339" s="24" t="s">
        <v>11</v>
      </c>
      <c r="I339" s="25">
        <f>IFERROR(VLOOKUP(VALUE(B339), 'คำนวณ '!A:U, 21, FALSE), "")</f>
        <v>1</v>
      </c>
      <c r="J339" s="26">
        <f>IFERROR(VLOOKUP(VALUE(B339), 'คำนวณ '!A:V, 22, FALSE), "")</f>
        <v>1</v>
      </c>
      <c r="K339" s="27" t="s">
        <v>19</v>
      </c>
      <c r="U339" s="26"/>
      <c r="X339" s="26"/>
    </row>
    <row r="340" ht="15.0" customHeight="1">
      <c r="A340" s="11">
        <v>222.0</v>
      </c>
      <c r="B340" s="18" t="s">
        <v>734</v>
      </c>
      <c r="C340" s="36" t="s">
        <v>735</v>
      </c>
      <c r="D340" s="39"/>
      <c r="E340" s="40"/>
      <c r="F340" s="41"/>
      <c r="G340" s="23" t="s">
        <v>29</v>
      </c>
      <c r="H340" s="42"/>
      <c r="I340" s="25" t="str">
        <f>IFERROR(VLOOKUP(VALUE(B340), 'คำนวณ '!A:U, 21, FALSE), "")</f>
        <v/>
      </c>
      <c r="J340" s="26" t="str">
        <f>IFERROR(VLOOKUP(VALUE(B340), 'คำนวณ '!A:V, 22, FALSE), "")</f>
        <v/>
      </c>
      <c r="K340" s="27" t="s">
        <v>19</v>
      </c>
      <c r="U340" s="26"/>
      <c r="X340" s="26"/>
    </row>
    <row r="341" ht="15.0" customHeight="1">
      <c r="A341" s="11">
        <v>222.0</v>
      </c>
      <c r="B341" s="18" t="s">
        <v>736</v>
      </c>
      <c r="C341" s="36" t="s">
        <v>737</v>
      </c>
      <c r="D341" s="39"/>
      <c r="E341" s="40"/>
      <c r="F341" s="41"/>
      <c r="G341" s="23" t="s">
        <v>29</v>
      </c>
      <c r="H341" s="42"/>
      <c r="I341" s="25" t="str">
        <f>IFERROR(VLOOKUP(VALUE(B341), 'คำนวณ '!A:U, 21, FALSE), "")</f>
        <v/>
      </c>
      <c r="J341" s="26" t="str">
        <f>IFERROR(VLOOKUP(VALUE(B341), 'คำนวณ '!A:V, 22, FALSE), "")</f>
        <v/>
      </c>
      <c r="K341" s="27" t="s">
        <v>19</v>
      </c>
      <c r="U341" s="26"/>
      <c r="X341" s="26"/>
    </row>
    <row r="342" ht="15.0" customHeight="1">
      <c r="A342" s="11">
        <v>222.0</v>
      </c>
      <c r="B342" s="18" t="s">
        <v>738</v>
      </c>
      <c r="C342" s="36" t="s">
        <v>739</v>
      </c>
      <c r="D342" s="20" t="s">
        <v>32</v>
      </c>
      <c r="E342" s="21">
        <v>4.0</v>
      </c>
      <c r="F342" s="22" t="s">
        <v>38</v>
      </c>
      <c r="G342" s="23" t="s">
        <v>29</v>
      </c>
      <c r="H342" s="24" t="s">
        <v>11</v>
      </c>
      <c r="I342" s="25">
        <f>IFERROR(VLOOKUP(VALUE(B342), 'คำนวณ '!A:U, 21, FALSE), "")</f>
        <v>1</v>
      </c>
      <c r="J342" s="26">
        <f>IFERROR(VLOOKUP(VALUE(B342), 'คำนวณ '!A:V, 22, FALSE), "")</f>
        <v>1</v>
      </c>
      <c r="K342" s="27" t="s">
        <v>19</v>
      </c>
      <c r="U342" s="26"/>
      <c r="X342" s="26"/>
    </row>
    <row r="343" ht="15.0" customHeight="1">
      <c r="A343" s="11">
        <v>222.0</v>
      </c>
      <c r="B343" s="18" t="s">
        <v>740</v>
      </c>
      <c r="C343" s="36" t="s">
        <v>741</v>
      </c>
      <c r="D343" s="39"/>
      <c r="E343" s="40"/>
      <c r="F343" s="41"/>
      <c r="G343" s="23" t="s">
        <v>29</v>
      </c>
      <c r="H343" s="42"/>
      <c r="I343" s="25" t="str">
        <f>IFERROR(VLOOKUP(VALUE(B343), 'คำนวณ '!A:U, 21, FALSE), "")</f>
        <v/>
      </c>
      <c r="J343" s="26" t="str">
        <f>IFERROR(VLOOKUP(VALUE(B343), 'คำนวณ '!A:V, 22, FALSE), "")</f>
        <v/>
      </c>
      <c r="K343" s="27" t="s">
        <v>19</v>
      </c>
      <c r="U343" s="26"/>
      <c r="X343" s="26"/>
    </row>
    <row r="344" ht="15.0" customHeight="1">
      <c r="A344" s="11">
        <v>222.0</v>
      </c>
      <c r="B344" s="18" t="s">
        <v>742</v>
      </c>
      <c r="C344" s="36" t="s">
        <v>743</v>
      </c>
      <c r="D344" s="20" t="s">
        <v>32</v>
      </c>
      <c r="E344" s="21">
        <v>4.0</v>
      </c>
      <c r="F344" s="22" t="s">
        <v>38</v>
      </c>
      <c r="G344" s="23" t="s">
        <v>29</v>
      </c>
      <c r="H344" s="24" t="s">
        <v>11</v>
      </c>
      <c r="I344" s="25">
        <f>IFERROR(VLOOKUP(VALUE(B344), 'คำนวณ '!A:U, 21, FALSE), "")</f>
        <v>1</v>
      </c>
      <c r="J344" s="26">
        <f>IFERROR(VLOOKUP(VALUE(B344), 'คำนวณ '!A:V, 22, FALSE), "")</f>
        <v>1</v>
      </c>
      <c r="K344" s="27" t="s">
        <v>19</v>
      </c>
      <c r="U344" s="26"/>
      <c r="X344" s="26"/>
    </row>
    <row r="345" ht="15.0" customHeight="1">
      <c r="A345" s="11">
        <v>222.0</v>
      </c>
      <c r="B345" s="18" t="s">
        <v>744</v>
      </c>
      <c r="C345" s="36" t="s">
        <v>745</v>
      </c>
      <c r="D345" s="39"/>
      <c r="E345" s="40"/>
      <c r="F345" s="41"/>
      <c r="G345" s="23" t="s">
        <v>29</v>
      </c>
      <c r="H345" s="42"/>
      <c r="I345" s="25" t="str">
        <f>IFERROR(VLOOKUP(VALUE(B345), 'คำนวณ '!A:U, 21, FALSE), "")</f>
        <v/>
      </c>
      <c r="J345" s="26" t="str">
        <f>IFERROR(VLOOKUP(VALUE(B345), 'คำนวณ '!A:V, 22, FALSE), "")</f>
        <v/>
      </c>
      <c r="K345" s="27" t="s">
        <v>19</v>
      </c>
      <c r="U345" s="26"/>
      <c r="X345" s="26"/>
    </row>
    <row r="346" ht="15.0" customHeight="1">
      <c r="A346" s="11">
        <v>222.0</v>
      </c>
      <c r="B346" s="18" t="s">
        <v>746</v>
      </c>
      <c r="C346" s="36" t="s">
        <v>747</v>
      </c>
      <c r="D346" s="39"/>
      <c r="E346" s="40"/>
      <c r="F346" s="41"/>
      <c r="G346" s="23" t="s">
        <v>29</v>
      </c>
      <c r="H346" s="42"/>
      <c r="I346" s="25" t="str">
        <f>IFERROR(VLOOKUP(VALUE(B346), 'คำนวณ '!A:U, 21, FALSE), "")</f>
        <v/>
      </c>
      <c r="J346" s="26" t="str">
        <f>IFERROR(VLOOKUP(VALUE(B346), 'คำนวณ '!A:V, 22, FALSE), "")</f>
        <v/>
      </c>
      <c r="K346" s="27" t="s">
        <v>19</v>
      </c>
      <c r="U346" s="26"/>
      <c r="X346" s="26"/>
    </row>
    <row r="347" ht="15.0" customHeight="1">
      <c r="A347" s="11">
        <v>222.0</v>
      </c>
      <c r="B347" s="18" t="s">
        <v>748</v>
      </c>
      <c r="C347" s="36" t="s">
        <v>749</v>
      </c>
      <c r="D347" s="20" t="s">
        <v>32</v>
      </c>
      <c r="E347" s="21">
        <v>4.0</v>
      </c>
      <c r="F347" s="22" t="s">
        <v>38</v>
      </c>
      <c r="G347" s="23" t="s">
        <v>29</v>
      </c>
      <c r="H347" s="24" t="s">
        <v>11</v>
      </c>
      <c r="I347" s="25">
        <f>IFERROR(VLOOKUP(VALUE(B347), 'คำนวณ '!A:U, 21, FALSE), "")</f>
        <v>1</v>
      </c>
      <c r="J347" s="26">
        <f>IFERROR(VLOOKUP(VALUE(B347), 'คำนวณ '!A:V, 22, FALSE), "")</f>
        <v>1</v>
      </c>
      <c r="K347" s="27" t="s">
        <v>19</v>
      </c>
      <c r="U347" s="26"/>
      <c r="X347" s="26"/>
    </row>
    <row r="348" ht="15.0" customHeight="1">
      <c r="A348" s="11">
        <v>223.0</v>
      </c>
      <c r="B348" s="18" t="s">
        <v>750</v>
      </c>
      <c r="C348" s="36" t="s">
        <v>751</v>
      </c>
      <c r="D348" s="39"/>
      <c r="E348" s="40"/>
      <c r="F348" s="41"/>
      <c r="G348" s="23" t="s">
        <v>29</v>
      </c>
      <c r="H348" s="42"/>
      <c r="I348" s="25" t="str">
        <f>IFERROR(VLOOKUP(VALUE(B348), 'คำนวณ '!A:U, 21, FALSE), "")</f>
        <v/>
      </c>
      <c r="J348" s="26" t="str">
        <f>IFERROR(VLOOKUP(VALUE(B348), 'คำนวณ '!A:V, 22, FALSE), "")</f>
        <v/>
      </c>
      <c r="K348" s="27" t="s">
        <v>19</v>
      </c>
      <c r="U348" s="26"/>
      <c r="X348" s="26"/>
    </row>
    <row r="349" ht="15.0" customHeight="1">
      <c r="A349" s="11">
        <v>223.0</v>
      </c>
      <c r="B349" s="18" t="s">
        <v>752</v>
      </c>
      <c r="C349" s="36" t="s">
        <v>753</v>
      </c>
      <c r="D349" s="20" t="s">
        <v>32</v>
      </c>
      <c r="E349" s="21">
        <v>4.0</v>
      </c>
      <c r="F349" s="22" t="s">
        <v>38</v>
      </c>
      <c r="G349" s="23" t="s">
        <v>29</v>
      </c>
      <c r="H349" s="24" t="s">
        <v>11</v>
      </c>
      <c r="I349" s="25">
        <f>IFERROR(VLOOKUP(VALUE(B349), 'คำนวณ '!A:U, 21, FALSE), "")</f>
        <v>1</v>
      </c>
      <c r="J349" s="26">
        <f>IFERROR(VLOOKUP(VALUE(B349), 'คำนวณ '!A:V, 22, FALSE), "")</f>
        <v>1</v>
      </c>
      <c r="K349" s="27" t="s">
        <v>19</v>
      </c>
      <c r="U349" s="26"/>
      <c r="X349" s="26"/>
    </row>
    <row r="350" ht="15.0" customHeight="1">
      <c r="A350" s="11">
        <v>223.0</v>
      </c>
      <c r="B350" s="18" t="s">
        <v>754</v>
      </c>
      <c r="C350" s="36" t="s">
        <v>755</v>
      </c>
      <c r="D350" s="39"/>
      <c r="E350" s="40"/>
      <c r="F350" s="41"/>
      <c r="G350" s="23" t="s">
        <v>29</v>
      </c>
      <c r="H350" s="42"/>
      <c r="I350" s="25" t="str">
        <f>IFERROR(VLOOKUP(VALUE(B350), 'คำนวณ '!A:U, 21, FALSE), "")</f>
        <v/>
      </c>
      <c r="J350" s="26" t="str">
        <f>IFERROR(VLOOKUP(VALUE(B350), 'คำนวณ '!A:V, 22, FALSE), "")</f>
        <v/>
      </c>
      <c r="K350" s="27" t="s">
        <v>19</v>
      </c>
      <c r="U350" s="26"/>
      <c r="X350" s="26"/>
    </row>
    <row r="351" ht="15.0" customHeight="1">
      <c r="A351" s="11">
        <v>223.0</v>
      </c>
      <c r="B351" s="18" t="s">
        <v>756</v>
      </c>
      <c r="C351" s="36" t="s">
        <v>757</v>
      </c>
      <c r="D351" s="20" t="s">
        <v>32</v>
      </c>
      <c r="E351" s="21">
        <v>4.0</v>
      </c>
      <c r="F351" s="22" t="s">
        <v>38</v>
      </c>
      <c r="G351" s="23" t="s">
        <v>29</v>
      </c>
      <c r="H351" s="24" t="s">
        <v>11</v>
      </c>
      <c r="I351" s="25">
        <f>IFERROR(VLOOKUP(VALUE(B351), 'คำนวณ '!A:U, 21, FALSE), "")</f>
        <v>1</v>
      </c>
      <c r="J351" s="26">
        <f>IFERROR(VLOOKUP(VALUE(B351), 'คำนวณ '!A:V, 22, FALSE), "")</f>
        <v>1</v>
      </c>
      <c r="K351" s="27" t="s">
        <v>19</v>
      </c>
      <c r="U351" s="26"/>
      <c r="X351" s="26"/>
    </row>
    <row r="352" ht="15.0" customHeight="1">
      <c r="A352" s="11">
        <v>223.0</v>
      </c>
      <c r="B352" s="18" t="s">
        <v>758</v>
      </c>
      <c r="C352" s="36" t="s">
        <v>759</v>
      </c>
      <c r="D352" s="39"/>
      <c r="E352" s="40"/>
      <c r="F352" s="41"/>
      <c r="G352" s="23" t="s">
        <v>29</v>
      </c>
      <c r="H352" s="42"/>
      <c r="I352" s="25" t="str">
        <f>IFERROR(VLOOKUP(VALUE(B352), 'คำนวณ '!A:U, 21, FALSE), "")</f>
        <v/>
      </c>
      <c r="J352" s="26" t="str">
        <f>IFERROR(VLOOKUP(VALUE(B352), 'คำนวณ '!A:V, 22, FALSE), "")</f>
        <v/>
      </c>
      <c r="K352" s="27" t="s">
        <v>19</v>
      </c>
      <c r="U352" s="26"/>
      <c r="X352" s="26"/>
    </row>
    <row r="353" ht="15.0" customHeight="1">
      <c r="A353" s="11">
        <v>223.0</v>
      </c>
      <c r="B353" s="18" t="s">
        <v>760</v>
      </c>
      <c r="C353" s="36" t="s">
        <v>761</v>
      </c>
      <c r="D353" s="20" t="s">
        <v>32</v>
      </c>
      <c r="E353" s="21">
        <v>4.0</v>
      </c>
      <c r="F353" s="22" t="s">
        <v>38</v>
      </c>
      <c r="G353" s="23" t="s">
        <v>29</v>
      </c>
      <c r="H353" s="24" t="s">
        <v>11</v>
      </c>
      <c r="I353" s="25">
        <f>IFERROR(VLOOKUP(VALUE(B353), 'คำนวณ '!A:U, 21, FALSE), "")</f>
        <v>1</v>
      </c>
      <c r="J353" s="26">
        <f>IFERROR(VLOOKUP(VALUE(B353), 'คำนวณ '!A:V, 22, FALSE), "")</f>
        <v>1</v>
      </c>
      <c r="K353" s="27" t="s">
        <v>19</v>
      </c>
      <c r="U353" s="26"/>
      <c r="X353" s="26"/>
    </row>
    <row r="354" ht="15.0" customHeight="1">
      <c r="A354" s="11">
        <v>223.0</v>
      </c>
      <c r="B354" s="18" t="s">
        <v>762</v>
      </c>
      <c r="C354" s="36" t="s">
        <v>763</v>
      </c>
      <c r="D354" s="39"/>
      <c r="E354" s="40"/>
      <c r="F354" s="41"/>
      <c r="G354" s="23" t="s">
        <v>29</v>
      </c>
      <c r="H354" s="42"/>
      <c r="I354" s="25" t="str">
        <f>IFERROR(VLOOKUP(VALUE(B354), 'คำนวณ '!A:U, 21, FALSE), "")</f>
        <v/>
      </c>
      <c r="J354" s="26" t="str">
        <f>IFERROR(VLOOKUP(VALUE(B354), 'คำนวณ '!A:V, 22, FALSE), "")</f>
        <v/>
      </c>
      <c r="K354" s="27" t="s">
        <v>19</v>
      </c>
      <c r="U354" s="26"/>
      <c r="X354" s="26"/>
    </row>
    <row r="355" ht="15.0" customHeight="1">
      <c r="A355" s="11">
        <v>224.0</v>
      </c>
      <c r="B355" s="18" t="s">
        <v>764</v>
      </c>
      <c r="C355" s="36" t="s">
        <v>765</v>
      </c>
      <c r="D355" s="20" t="s">
        <v>32</v>
      </c>
      <c r="E355" s="21">
        <v>2.0</v>
      </c>
      <c r="F355" s="22" t="s">
        <v>83</v>
      </c>
      <c r="G355" s="23" t="s">
        <v>29</v>
      </c>
      <c r="H355" s="24" t="s">
        <v>11</v>
      </c>
      <c r="I355" s="25">
        <f>IFERROR(VLOOKUP(VALUE(B355), 'คำนวณ '!A:U, 21, FALSE), "")</f>
        <v>1</v>
      </c>
      <c r="J355" s="26">
        <f>IFERROR(VLOOKUP(VALUE(B355), 'คำนวณ '!A:V, 22, FALSE), "")</f>
        <v>1</v>
      </c>
      <c r="K355" s="27" t="s">
        <v>19</v>
      </c>
      <c r="U355" s="26"/>
      <c r="X355" s="26"/>
    </row>
    <row r="356" ht="15.0" customHeight="1">
      <c r="A356" s="11">
        <v>224.0</v>
      </c>
      <c r="B356" s="18" t="s">
        <v>766</v>
      </c>
      <c r="C356" s="36" t="s">
        <v>767</v>
      </c>
      <c r="D356" s="39"/>
      <c r="E356" s="40"/>
      <c r="F356" s="41"/>
      <c r="G356" s="23" t="s">
        <v>29</v>
      </c>
      <c r="H356" s="42"/>
      <c r="I356" s="25" t="str">
        <f>IFERROR(VLOOKUP(VALUE(B356), 'คำนวณ '!A:U, 21, FALSE), "")</f>
        <v/>
      </c>
      <c r="J356" s="26" t="str">
        <f>IFERROR(VLOOKUP(VALUE(B356), 'คำนวณ '!A:V, 22, FALSE), "")</f>
        <v/>
      </c>
      <c r="K356" s="27" t="s">
        <v>19</v>
      </c>
      <c r="U356" s="26"/>
      <c r="X356" s="26"/>
    </row>
    <row r="357" ht="15.0" customHeight="1">
      <c r="A357" s="11">
        <v>224.0</v>
      </c>
      <c r="B357" s="18" t="s">
        <v>768</v>
      </c>
      <c r="C357" s="36" t="s">
        <v>769</v>
      </c>
      <c r="D357" s="39"/>
      <c r="E357" s="40"/>
      <c r="F357" s="41"/>
      <c r="G357" s="23" t="s">
        <v>29</v>
      </c>
      <c r="H357" s="42"/>
      <c r="I357" s="25" t="str">
        <f>IFERROR(VLOOKUP(VALUE(B357), 'คำนวณ '!A:U, 21, FALSE), "")</f>
        <v/>
      </c>
      <c r="J357" s="26" t="str">
        <f>IFERROR(VLOOKUP(VALUE(B357), 'คำนวณ '!A:V, 22, FALSE), "")</f>
        <v/>
      </c>
      <c r="K357" s="27" t="s">
        <v>19</v>
      </c>
      <c r="U357" s="26"/>
      <c r="X357" s="26"/>
    </row>
    <row r="358" ht="15.0" customHeight="1">
      <c r="A358" s="11">
        <v>311.0</v>
      </c>
      <c r="B358" s="18" t="s">
        <v>770</v>
      </c>
      <c r="C358" s="36" t="s">
        <v>771</v>
      </c>
      <c r="D358" s="39"/>
      <c r="E358" s="40"/>
      <c r="F358" s="41"/>
      <c r="G358" s="62"/>
      <c r="H358" s="42"/>
      <c r="I358" s="25">
        <f>IFERROR(VLOOKUP(VALUE(B358), 'คำนวณ '!A:U, 21, FALSE), "")</f>
        <v>1</v>
      </c>
      <c r="J358" s="26">
        <f>IFERROR(VLOOKUP(VALUE(B358), 'คำนวณ '!A:V, 22, FALSE), "")</f>
        <v>1</v>
      </c>
      <c r="K358" s="27" t="s">
        <v>19</v>
      </c>
      <c r="U358" s="26"/>
      <c r="X358" s="26"/>
    </row>
    <row r="359" ht="15.0" customHeight="1">
      <c r="A359" s="11">
        <v>311.0</v>
      </c>
      <c r="B359" s="18" t="s">
        <v>772</v>
      </c>
      <c r="C359" s="36" t="s">
        <v>773</v>
      </c>
      <c r="D359" s="20" t="s">
        <v>16</v>
      </c>
      <c r="E359" s="21">
        <v>1.0</v>
      </c>
      <c r="F359" s="22" t="s">
        <v>774</v>
      </c>
      <c r="G359" s="23" t="s">
        <v>25</v>
      </c>
      <c r="H359" s="24" t="s">
        <v>11</v>
      </c>
      <c r="I359" s="25">
        <f>IFERROR(VLOOKUP(VALUE(B359), 'คำนวณ '!A:U, 21, FALSE), "")</f>
        <v>1</v>
      </c>
      <c r="J359" s="26" t="str">
        <f>IFERROR(VLOOKUP(VALUE(B359), 'คำนวณ '!A:V, 22, FALSE), "")</f>
        <v/>
      </c>
      <c r="K359" s="27" t="s">
        <v>19</v>
      </c>
      <c r="U359" s="26"/>
      <c r="X359" s="26"/>
    </row>
    <row r="360" ht="15.0" customHeight="1">
      <c r="A360" s="11">
        <v>312.0</v>
      </c>
      <c r="B360" s="18" t="s">
        <v>775</v>
      </c>
      <c r="C360" s="36" t="s">
        <v>776</v>
      </c>
      <c r="D360" s="20" t="s">
        <v>16</v>
      </c>
      <c r="E360" s="21" t="s">
        <v>777</v>
      </c>
      <c r="F360" s="22" t="s">
        <v>777</v>
      </c>
      <c r="G360" s="23" t="s">
        <v>25</v>
      </c>
      <c r="H360" s="24" t="s">
        <v>11</v>
      </c>
      <c r="I360" s="25">
        <f>IFERROR(VLOOKUP(VALUE(B360), 'คำนวณ '!A:U, 21, FALSE), "")</f>
        <v>1</v>
      </c>
      <c r="J360" s="26">
        <f>IFERROR(VLOOKUP(VALUE(B360), 'คำนวณ '!A:V, 22, FALSE), "")</f>
        <v>1</v>
      </c>
      <c r="K360" s="27" t="s">
        <v>19</v>
      </c>
      <c r="U360" s="26"/>
      <c r="X360" s="26"/>
    </row>
    <row r="361" ht="15.0" customHeight="1">
      <c r="A361" s="11">
        <v>313.0</v>
      </c>
      <c r="B361" s="18" t="s">
        <v>778</v>
      </c>
      <c r="C361" s="36" t="s">
        <v>779</v>
      </c>
      <c r="D361" s="20" t="s">
        <v>16</v>
      </c>
      <c r="E361" s="21">
        <v>4.0</v>
      </c>
      <c r="F361" s="22" t="s">
        <v>38</v>
      </c>
      <c r="G361" s="23" t="s">
        <v>25</v>
      </c>
      <c r="H361" s="24" t="s">
        <v>11</v>
      </c>
      <c r="I361" s="25">
        <f>IFERROR(VLOOKUP(VALUE(B361), 'คำนวณ '!A:U, 21, FALSE), "")</f>
        <v>1</v>
      </c>
      <c r="J361" s="26">
        <f>IFERROR(VLOOKUP(VALUE(B361), 'คำนวณ '!A:V, 22, FALSE), "")</f>
        <v>1</v>
      </c>
      <c r="K361" s="47" t="s">
        <v>10</v>
      </c>
      <c r="U361" s="26"/>
      <c r="X361" s="26"/>
    </row>
    <row r="362" ht="15.0" customHeight="1">
      <c r="A362" s="11">
        <v>313.0</v>
      </c>
      <c r="B362" s="18" t="s">
        <v>780</v>
      </c>
      <c r="C362" s="36" t="s">
        <v>781</v>
      </c>
      <c r="D362" s="20" t="s">
        <v>16</v>
      </c>
      <c r="E362" s="21">
        <v>4.0</v>
      </c>
      <c r="F362" s="22" t="s">
        <v>38</v>
      </c>
      <c r="G362" s="23" t="s">
        <v>25</v>
      </c>
      <c r="H362" s="24" t="s">
        <v>11</v>
      </c>
      <c r="I362" s="25">
        <f>IFERROR(VLOOKUP(VALUE(B362), 'คำนวณ '!A:U, 21, FALSE), "")</f>
        <v>1</v>
      </c>
      <c r="J362" s="26">
        <f>IFERROR(VLOOKUP(VALUE(B362), 'คำนวณ '!A:V, 22, FALSE), "")</f>
        <v>1</v>
      </c>
      <c r="K362" s="47" t="s">
        <v>10</v>
      </c>
      <c r="U362" s="26"/>
      <c r="X362" s="26"/>
    </row>
    <row r="363" ht="15.0" customHeight="1">
      <c r="A363" s="11">
        <v>313.0</v>
      </c>
      <c r="B363" s="18" t="s">
        <v>782</v>
      </c>
      <c r="C363" s="36" t="s">
        <v>783</v>
      </c>
      <c r="D363" s="20" t="s">
        <v>16</v>
      </c>
      <c r="E363" s="21">
        <v>4.0</v>
      </c>
      <c r="F363" s="22" t="s">
        <v>38</v>
      </c>
      <c r="G363" s="23" t="s">
        <v>25</v>
      </c>
      <c r="H363" s="24" t="s">
        <v>11</v>
      </c>
      <c r="I363" s="25" t="str">
        <f>IFERROR(VLOOKUP(VALUE(B363), 'คำนวณ '!A:U, 21, FALSE), "")</f>
        <v/>
      </c>
      <c r="J363" s="26" t="str">
        <f>IFERROR(VLOOKUP(VALUE(B363), 'คำนวณ '!A:V, 22, FALSE), "")</f>
        <v/>
      </c>
      <c r="K363" s="27" t="s">
        <v>19</v>
      </c>
      <c r="U363" s="26"/>
      <c r="X363" s="26"/>
    </row>
    <row r="364" ht="15.0" customHeight="1">
      <c r="A364" s="11">
        <v>313.0</v>
      </c>
      <c r="B364" s="18" t="s">
        <v>784</v>
      </c>
      <c r="C364" s="36" t="s">
        <v>785</v>
      </c>
      <c r="D364" s="39"/>
      <c r="E364" s="40"/>
      <c r="F364" s="41"/>
      <c r="G364" s="23" t="s">
        <v>25</v>
      </c>
      <c r="H364" s="42"/>
      <c r="I364" s="25" t="str">
        <f>IFERROR(VLOOKUP(VALUE(B364), 'คำนวณ '!A:U, 21, FALSE), "")</f>
        <v/>
      </c>
      <c r="J364" s="26" t="str">
        <f>IFERROR(VLOOKUP(VALUE(B364), 'คำนวณ '!A:V, 22, FALSE), "")</f>
        <v/>
      </c>
      <c r="K364" s="27" t="s">
        <v>19</v>
      </c>
      <c r="U364" s="26"/>
      <c r="X364" s="26"/>
    </row>
    <row r="365" ht="15.0" customHeight="1">
      <c r="A365" s="11">
        <v>313.0</v>
      </c>
      <c r="B365" s="18" t="s">
        <v>786</v>
      </c>
      <c r="C365" s="36" t="s">
        <v>787</v>
      </c>
      <c r="D365" s="20" t="s">
        <v>16</v>
      </c>
      <c r="E365" s="21">
        <v>4.0</v>
      </c>
      <c r="F365" s="22" t="s">
        <v>38</v>
      </c>
      <c r="G365" s="23" t="s">
        <v>25</v>
      </c>
      <c r="H365" s="24" t="s">
        <v>11</v>
      </c>
      <c r="I365" s="25">
        <f>IFERROR(VLOOKUP(VALUE(B365), 'คำนวณ '!A:U, 21, FALSE), "")</f>
        <v>1</v>
      </c>
      <c r="J365" s="26">
        <f>IFERROR(VLOOKUP(VALUE(B365), 'คำนวณ '!A:V, 22, FALSE), "")</f>
        <v>1</v>
      </c>
      <c r="K365" s="47" t="s">
        <v>10</v>
      </c>
      <c r="U365" s="26"/>
      <c r="X365" s="26"/>
    </row>
    <row r="366" ht="15.0" customHeight="1">
      <c r="A366" s="11">
        <v>313.0</v>
      </c>
      <c r="B366" s="18" t="s">
        <v>788</v>
      </c>
      <c r="C366" s="36" t="s">
        <v>789</v>
      </c>
      <c r="D366" s="20" t="s">
        <v>16</v>
      </c>
      <c r="E366" s="21">
        <v>4.0</v>
      </c>
      <c r="F366" s="22" t="s">
        <v>38</v>
      </c>
      <c r="G366" s="23" t="s">
        <v>25</v>
      </c>
      <c r="H366" s="24" t="s">
        <v>11</v>
      </c>
      <c r="I366" s="25">
        <f>IFERROR(VLOOKUP(VALUE(B366), 'คำนวณ '!A:U, 21, FALSE), "")</f>
        <v>1</v>
      </c>
      <c r="J366" s="26">
        <f>IFERROR(VLOOKUP(VALUE(B366), 'คำนวณ '!A:V, 22, FALSE), "")</f>
        <v>1</v>
      </c>
      <c r="K366" s="47" t="s">
        <v>10</v>
      </c>
      <c r="U366" s="26"/>
      <c r="X366" s="26"/>
    </row>
    <row r="367" ht="15.0" customHeight="1">
      <c r="A367" s="11">
        <v>313.0</v>
      </c>
      <c r="B367" s="18" t="s">
        <v>790</v>
      </c>
      <c r="C367" s="36" t="s">
        <v>791</v>
      </c>
      <c r="D367" s="20" t="s">
        <v>16</v>
      </c>
      <c r="E367" s="21">
        <v>4.0</v>
      </c>
      <c r="F367" s="22" t="s">
        <v>792</v>
      </c>
      <c r="G367" s="23" t="s">
        <v>25</v>
      </c>
      <c r="H367" s="24" t="s">
        <v>11</v>
      </c>
      <c r="I367" s="25">
        <f>IFERROR(VLOOKUP(VALUE(B367), 'คำนวณ '!A:U, 21, FALSE), "")</f>
        <v>1</v>
      </c>
      <c r="J367" s="26">
        <f>IFERROR(VLOOKUP(VALUE(B367), 'คำนวณ '!A:V, 22, FALSE), "")</f>
        <v>1</v>
      </c>
      <c r="K367" s="47" t="s">
        <v>10</v>
      </c>
      <c r="U367" s="26"/>
      <c r="X367" s="26"/>
    </row>
    <row r="368" ht="15.0" customHeight="1">
      <c r="A368" s="11">
        <v>313.0</v>
      </c>
      <c r="B368" s="18" t="s">
        <v>793</v>
      </c>
      <c r="C368" s="36" t="s">
        <v>794</v>
      </c>
      <c r="D368" s="20" t="s">
        <v>16</v>
      </c>
      <c r="E368" s="21">
        <v>4.0</v>
      </c>
      <c r="F368" s="22" t="s">
        <v>38</v>
      </c>
      <c r="G368" s="23" t="s">
        <v>25</v>
      </c>
      <c r="H368" s="24" t="s">
        <v>11</v>
      </c>
      <c r="I368" s="25">
        <f>IFERROR(VLOOKUP(VALUE(B368), 'คำนวณ '!A:U, 21, FALSE), "")</f>
        <v>1</v>
      </c>
      <c r="J368" s="26">
        <f>IFERROR(VLOOKUP(VALUE(B368), 'คำนวณ '!A:V, 22, FALSE), "")</f>
        <v>1</v>
      </c>
      <c r="K368" s="47" t="s">
        <v>10</v>
      </c>
      <c r="U368" s="26"/>
      <c r="X368" s="26"/>
    </row>
    <row r="369" ht="15.0" customHeight="1">
      <c r="A369" s="11">
        <v>313.0</v>
      </c>
      <c r="B369" s="18" t="s">
        <v>795</v>
      </c>
      <c r="C369" s="36" t="s">
        <v>796</v>
      </c>
      <c r="D369" s="39"/>
      <c r="E369" s="40"/>
      <c r="F369" s="41"/>
      <c r="G369" s="23" t="s">
        <v>25</v>
      </c>
      <c r="H369" s="42"/>
      <c r="I369" s="25" t="str">
        <f>IFERROR(VLOOKUP(VALUE(B369), 'คำนวณ '!A:U, 21, FALSE), "")</f>
        <v/>
      </c>
      <c r="J369" s="26" t="str">
        <f>IFERROR(VLOOKUP(VALUE(B369), 'คำนวณ '!A:V, 22, FALSE), "")</f>
        <v/>
      </c>
      <c r="K369" s="27" t="s">
        <v>19</v>
      </c>
      <c r="U369" s="26"/>
      <c r="X369" s="26"/>
    </row>
    <row r="370" ht="15.0" customHeight="1">
      <c r="A370" s="11">
        <v>313.0</v>
      </c>
      <c r="B370" s="18" t="s">
        <v>797</v>
      </c>
      <c r="C370" s="36" t="s">
        <v>798</v>
      </c>
      <c r="D370" s="20" t="s">
        <v>16</v>
      </c>
      <c r="E370" s="21">
        <v>8.0</v>
      </c>
      <c r="F370" s="22" t="s">
        <v>799</v>
      </c>
      <c r="G370" s="23" t="s">
        <v>25</v>
      </c>
      <c r="H370" s="24" t="s">
        <v>11</v>
      </c>
      <c r="I370" s="25">
        <f>IFERROR(VLOOKUP(VALUE(B370), 'คำนวณ '!A:U, 21, FALSE), "")</f>
        <v>1</v>
      </c>
      <c r="J370" s="26">
        <f>IFERROR(VLOOKUP(VALUE(B370), 'คำนวณ '!A:V, 22, FALSE), "")</f>
        <v>1</v>
      </c>
      <c r="K370" s="47" t="s">
        <v>10</v>
      </c>
      <c r="U370" s="26"/>
      <c r="X370" s="26"/>
    </row>
    <row r="371" ht="15.0" customHeight="1">
      <c r="A371" s="11">
        <v>314.0</v>
      </c>
      <c r="B371" s="18" t="s">
        <v>800</v>
      </c>
      <c r="C371" s="36" t="s">
        <v>801</v>
      </c>
      <c r="D371" s="20" t="s">
        <v>16</v>
      </c>
      <c r="E371" s="21">
        <v>4.0</v>
      </c>
      <c r="F371" s="22" t="s">
        <v>38</v>
      </c>
      <c r="G371" s="23" t="s">
        <v>25</v>
      </c>
      <c r="H371" s="24" t="s">
        <v>11</v>
      </c>
      <c r="I371" s="25">
        <f>IFERROR(VLOOKUP(VALUE(B371), 'คำนวณ '!A:U, 21, FALSE), "")</f>
        <v>1</v>
      </c>
      <c r="J371" s="26">
        <f>IFERROR(VLOOKUP(VALUE(B371), 'คำนวณ '!A:V, 22, FALSE), "")</f>
        <v>1</v>
      </c>
      <c r="K371" s="47" t="s">
        <v>10</v>
      </c>
      <c r="U371" s="26"/>
      <c r="X371" s="26"/>
    </row>
    <row r="372" ht="15.0" customHeight="1">
      <c r="A372" s="11">
        <v>314.0</v>
      </c>
      <c r="B372" s="18" t="s">
        <v>802</v>
      </c>
      <c r="C372" s="36" t="s">
        <v>803</v>
      </c>
      <c r="D372" s="20" t="s">
        <v>16</v>
      </c>
      <c r="E372" s="21">
        <v>4.0</v>
      </c>
      <c r="F372" s="22" t="s">
        <v>38</v>
      </c>
      <c r="G372" s="23" t="s">
        <v>25</v>
      </c>
      <c r="H372" s="24" t="s">
        <v>11</v>
      </c>
      <c r="I372" s="25">
        <f>IFERROR(VLOOKUP(VALUE(B372), 'คำนวณ '!A:U, 21, FALSE), "")</f>
        <v>1</v>
      </c>
      <c r="J372" s="26" t="str">
        <f>IFERROR(VLOOKUP(VALUE(B372), 'คำนวณ '!A:V, 22, FALSE), "")</f>
        <v/>
      </c>
      <c r="K372" s="47" t="s">
        <v>10</v>
      </c>
      <c r="U372" s="26"/>
      <c r="X372" s="26"/>
    </row>
    <row r="373" ht="15.0" customHeight="1">
      <c r="A373" s="11">
        <v>314.0</v>
      </c>
      <c r="B373" s="18" t="s">
        <v>804</v>
      </c>
      <c r="C373" s="36" t="s">
        <v>805</v>
      </c>
      <c r="D373" s="20" t="s">
        <v>16</v>
      </c>
      <c r="E373" s="21">
        <v>4.0</v>
      </c>
      <c r="F373" s="22" t="s">
        <v>38</v>
      </c>
      <c r="G373" s="23" t="s">
        <v>25</v>
      </c>
      <c r="H373" s="24" t="s">
        <v>11</v>
      </c>
      <c r="I373" s="25">
        <f>IFERROR(VLOOKUP(VALUE(B373), 'คำนวณ '!A:U, 21, FALSE), "")</f>
        <v>1</v>
      </c>
      <c r="J373" s="26">
        <f>IFERROR(VLOOKUP(VALUE(B373), 'คำนวณ '!A:V, 22, FALSE), "")</f>
        <v>1</v>
      </c>
      <c r="K373" s="47" t="s">
        <v>10</v>
      </c>
      <c r="U373" s="26"/>
      <c r="X373" s="26"/>
    </row>
    <row r="374" ht="15.0" customHeight="1">
      <c r="A374" s="11">
        <v>315.0</v>
      </c>
      <c r="B374" s="18" t="s">
        <v>806</v>
      </c>
      <c r="C374" s="36" t="s">
        <v>807</v>
      </c>
      <c r="D374" s="39"/>
      <c r="E374" s="40"/>
      <c r="F374" s="41"/>
      <c r="G374" s="23" t="s">
        <v>25</v>
      </c>
      <c r="H374" s="42"/>
      <c r="I374" s="25" t="str">
        <f>IFERROR(VLOOKUP(VALUE(B374), 'คำนวณ '!A:U, 21, FALSE), "")</f>
        <v/>
      </c>
      <c r="J374" s="26" t="str">
        <f>IFERROR(VLOOKUP(VALUE(B374), 'คำนวณ '!A:V, 22, FALSE), "")</f>
        <v/>
      </c>
      <c r="K374" s="27" t="s">
        <v>19</v>
      </c>
      <c r="U374" s="26"/>
      <c r="X374" s="26"/>
    </row>
    <row r="375" ht="15.0" customHeight="1">
      <c r="A375" s="11">
        <v>315.0</v>
      </c>
      <c r="B375" s="18" t="s">
        <v>808</v>
      </c>
      <c r="C375" s="36" t="s">
        <v>809</v>
      </c>
      <c r="D375" s="39"/>
      <c r="E375" s="40"/>
      <c r="F375" s="41"/>
      <c r="G375" s="23" t="s">
        <v>25</v>
      </c>
      <c r="H375" s="42"/>
      <c r="I375" s="25" t="str">
        <f>IFERROR(VLOOKUP(VALUE(B375), 'คำนวณ '!A:U, 21, FALSE), "")</f>
        <v/>
      </c>
      <c r="J375" s="26" t="str">
        <f>IFERROR(VLOOKUP(VALUE(B375), 'คำนวณ '!A:V, 22, FALSE), "")</f>
        <v/>
      </c>
      <c r="K375" s="27" t="s">
        <v>19</v>
      </c>
      <c r="U375" s="26"/>
      <c r="X375" s="26"/>
    </row>
    <row r="376" ht="15.0" customHeight="1">
      <c r="A376" s="11">
        <v>315.0</v>
      </c>
      <c r="B376" s="18" t="s">
        <v>810</v>
      </c>
      <c r="C376" s="36" t="s">
        <v>811</v>
      </c>
      <c r="D376" s="20" t="s">
        <v>16</v>
      </c>
      <c r="E376" s="21">
        <v>2.0</v>
      </c>
      <c r="F376" s="22" t="s">
        <v>83</v>
      </c>
      <c r="G376" s="23" t="s">
        <v>25</v>
      </c>
      <c r="H376" s="24" t="s">
        <v>11</v>
      </c>
      <c r="I376" s="25">
        <f>IFERROR(VLOOKUP(VALUE(B376), 'คำนวณ '!A:U, 21, FALSE), "")</f>
        <v>1</v>
      </c>
      <c r="J376" s="26">
        <f>IFERROR(VLOOKUP(VALUE(B376), 'คำนวณ '!A:V, 22, FALSE), "")</f>
        <v>1</v>
      </c>
      <c r="K376" s="27" t="s">
        <v>19</v>
      </c>
      <c r="U376" s="26"/>
      <c r="X376" s="26"/>
    </row>
    <row r="377" ht="15.0" customHeight="1">
      <c r="A377" s="11">
        <v>315.0</v>
      </c>
      <c r="B377" s="18" t="s">
        <v>812</v>
      </c>
      <c r="C377" s="36" t="s">
        <v>813</v>
      </c>
      <c r="D377" s="20" t="s">
        <v>16</v>
      </c>
      <c r="E377" s="21">
        <v>2.0</v>
      </c>
      <c r="F377" s="22" t="s">
        <v>83</v>
      </c>
      <c r="G377" s="23" t="s">
        <v>25</v>
      </c>
      <c r="H377" s="24" t="s">
        <v>11</v>
      </c>
      <c r="I377" s="25">
        <f>IFERROR(VLOOKUP(VALUE(B377), 'คำนวณ '!A:U, 21, FALSE), "")</f>
        <v>1</v>
      </c>
      <c r="J377" s="26">
        <f>IFERROR(VLOOKUP(VALUE(B377), 'คำนวณ '!A:V, 22, FALSE), "")</f>
        <v>1</v>
      </c>
      <c r="K377" s="27" t="s">
        <v>19</v>
      </c>
      <c r="U377" s="26"/>
      <c r="X377" s="26"/>
    </row>
    <row r="378" ht="15.0" customHeight="1">
      <c r="A378" s="11">
        <v>315.0</v>
      </c>
      <c r="B378" s="18" t="s">
        <v>814</v>
      </c>
      <c r="C378" s="36" t="s">
        <v>815</v>
      </c>
      <c r="D378" s="20" t="s">
        <v>16</v>
      </c>
      <c r="E378" s="21">
        <v>2.0</v>
      </c>
      <c r="F378" s="22" t="s">
        <v>83</v>
      </c>
      <c r="G378" s="23" t="s">
        <v>25</v>
      </c>
      <c r="H378" s="24" t="s">
        <v>11</v>
      </c>
      <c r="I378" s="25">
        <f>IFERROR(VLOOKUP(VALUE(B378), 'คำนวณ '!A:U, 21, FALSE), "")</f>
        <v>1</v>
      </c>
      <c r="J378" s="26">
        <f>IFERROR(VLOOKUP(VALUE(B378), 'คำนวณ '!A:V, 22, FALSE), "")</f>
        <v>1</v>
      </c>
      <c r="K378" s="47" t="s">
        <v>10</v>
      </c>
      <c r="U378" s="26"/>
      <c r="X378" s="26"/>
    </row>
    <row r="379" ht="15.0" customHeight="1">
      <c r="A379" s="11">
        <v>315.0</v>
      </c>
      <c r="B379" s="18" t="s">
        <v>816</v>
      </c>
      <c r="C379" s="36" t="s">
        <v>817</v>
      </c>
      <c r="D379" s="20" t="s">
        <v>63</v>
      </c>
      <c r="E379" s="21">
        <v>4.0</v>
      </c>
      <c r="F379" s="22" t="s">
        <v>38</v>
      </c>
      <c r="G379" s="23" t="s">
        <v>25</v>
      </c>
      <c r="H379" s="24" t="s">
        <v>11</v>
      </c>
      <c r="I379" s="25">
        <f>IFERROR(VLOOKUP(VALUE(B379), 'คำนวณ '!A:U, 21, FALSE), "")</f>
        <v>1</v>
      </c>
      <c r="J379" s="26">
        <f>IFERROR(VLOOKUP(VALUE(B379), 'คำนวณ '!A:V, 22, FALSE), "")</f>
        <v>1</v>
      </c>
      <c r="K379" s="47" t="s">
        <v>10</v>
      </c>
      <c r="U379" s="26"/>
      <c r="X379" s="26"/>
    </row>
    <row r="380" ht="15.0" customHeight="1">
      <c r="A380" s="11">
        <v>315.0</v>
      </c>
      <c r="B380" s="18" t="s">
        <v>818</v>
      </c>
      <c r="C380" s="36" t="s">
        <v>819</v>
      </c>
      <c r="D380" s="20" t="s">
        <v>63</v>
      </c>
      <c r="E380" s="21">
        <v>4.0</v>
      </c>
      <c r="F380" s="22" t="s">
        <v>38</v>
      </c>
      <c r="G380" s="23" t="s">
        <v>25</v>
      </c>
      <c r="H380" s="24" t="s">
        <v>11</v>
      </c>
      <c r="I380" s="25">
        <f>IFERROR(VLOOKUP(VALUE(B380), 'คำนวณ '!A:U, 21, FALSE), "")</f>
        <v>1</v>
      </c>
      <c r="J380" s="26">
        <f>IFERROR(VLOOKUP(VALUE(B380), 'คำนวณ '!A:V, 22, FALSE), "")</f>
        <v>1</v>
      </c>
      <c r="K380" s="47" t="s">
        <v>10</v>
      </c>
      <c r="U380" s="26"/>
      <c r="X380" s="26"/>
    </row>
    <row r="381" ht="15.0" customHeight="1">
      <c r="A381" s="11">
        <v>315.0</v>
      </c>
      <c r="B381" s="18" t="s">
        <v>820</v>
      </c>
      <c r="C381" s="36" t="s">
        <v>821</v>
      </c>
      <c r="D381" s="20" t="s">
        <v>63</v>
      </c>
      <c r="E381" s="21">
        <v>4.0</v>
      </c>
      <c r="F381" s="22" t="s">
        <v>38</v>
      </c>
      <c r="G381" s="23" t="s">
        <v>25</v>
      </c>
      <c r="H381" s="24" t="s">
        <v>11</v>
      </c>
      <c r="I381" s="25">
        <f>IFERROR(VLOOKUP(VALUE(B381), 'คำนวณ '!A:U, 21, FALSE), "")</f>
        <v>1</v>
      </c>
      <c r="J381" s="26">
        <f>IFERROR(VLOOKUP(VALUE(B381), 'คำนวณ '!A:V, 22, FALSE), "")</f>
        <v>1</v>
      </c>
      <c r="K381" s="47" t="s">
        <v>10</v>
      </c>
      <c r="U381" s="26"/>
      <c r="X381" s="26"/>
    </row>
    <row r="382" ht="15.0" customHeight="1">
      <c r="A382" s="11">
        <v>316.0</v>
      </c>
      <c r="B382" s="18" t="s">
        <v>822</v>
      </c>
      <c r="C382" s="36" t="s">
        <v>823</v>
      </c>
      <c r="D382" s="20" t="s">
        <v>63</v>
      </c>
      <c r="E382" s="21">
        <v>4.0</v>
      </c>
      <c r="F382" s="22" t="s">
        <v>38</v>
      </c>
      <c r="G382" s="23" t="s">
        <v>25</v>
      </c>
      <c r="H382" s="24" t="s">
        <v>11</v>
      </c>
      <c r="I382" s="25">
        <f>IFERROR(VLOOKUP(VALUE(B382), 'คำนวณ '!A:U, 21, FALSE), "")</f>
        <v>1</v>
      </c>
      <c r="J382" s="26">
        <f>IFERROR(VLOOKUP(VALUE(B382), 'คำนวณ '!A:V, 22, FALSE), "")</f>
        <v>1</v>
      </c>
      <c r="K382" s="27" t="s">
        <v>19</v>
      </c>
      <c r="U382" s="26"/>
      <c r="X382" s="26"/>
    </row>
    <row r="383" ht="15.0" customHeight="1">
      <c r="A383" s="11">
        <v>316.0</v>
      </c>
      <c r="B383" s="18" t="s">
        <v>824</v>
      </c>
      <c r="C383" s="36" t="s">
        <v>825</v>
      </c>
      <c r="D383" s="20" t="s">
        <v>63</v>
      </c>
      <c r="E383" s="21">
        <v>4.0</v>
      </c>
      <c r="F383" s="22" t="s">
        <v>38</v>
      </c>
      <c r="G383" s="23" t="s">
        <v>25</v>
      </c>
      <c r="H383" s="24" t="s">
        <v>11</v>
      </c>
      <c r="I383" s="25">
        <f>IFERROR(VLOOKUP(VALUE(B383), 'คำนวณ '!A:U, 21, FALSE), "")</f>
        <v>1</v>
      </c>
      <c r="J383" s="26">
        <f>IFERROR(VLOOKUP(VALUE(B383), 'คำนวณ '!A:V, 22, FALSE), "")</f>
        <v>1</v>
      </c>
      <c r="K383" s="47" t="s">
        <v>10</v>
      </c>
      <c r="U383" s="26"/>
      <c r="X383" s="26"/>
    </row>
    <row r="384" ht="15.0" customHeight="1">
      <c r="A384" s="11">
        <v>316.0</v>
      </c>
      <c r="B384" s="18" t="s">
        <v>826</v>
      </c>
      <c r="C384" s="36" t="s">
        <v>827</v>
      </c>
      <c r="D384" s="20" t="s">
        <v>63</v>
      </c>
      <c r="E384" s="21">
        <v>4.0</v>
      </c>
      <c r="F384" s="22" t="s">
        <v>38</v>
      </c>
      <c r="G384" s="23" t="s">
        <v>25</v>
      </c>
      <c r="H384" s="24" t="s">
        <v>11</v>
      </c>
      <c r="I384" s="25">
        <f>IFERROR(VLOOKUP(VALUE(B384), 'คำนวณ '!A:U, 21, FALSE), "")</f>
        <v>1</v>
      </c>
      <c r="J384" s="26">
        <f>IFERROR(VLOOKUP(VALUE(B384), 'คำนวณ '!A:V, 22, FALSE), "")</f>
        <v>1</v>
      </c>
      <c r="K384" s="27" t="s">
        <v>19</v>
      </c>
      <c r="U384" s="26"/>
      <c r="X384" s="26"/>
    </row>
    <row r="385" ht="15.0" customHeight="1">
      <c r="A385" s="11">
        <v>321.0</v>
      </c>
      <c r="B385" s="18" t="s">
        <v>828</v>
      </c>
      <c r="C385" s="36" t="s">
        <v>829</v>
      </c>
      <c r="D385" s="20" t="s">
        <v>35</v>
      </c>
      <c r="E385" s="21">
        <v>1.0</v>
      </c>
      <c r="F385" s="22" t="s">
        <v>774</v>
      </c>
      <c r="G385" s="23" t="s">
        <v>25</v>
      </c>
      <c r="H385" s="24" t="s">
        <v>11</v>
      </c>
      <c r="I385" s="25">
        <f>IFERROR(VLOOKUP(VALUE(B385), 'คำนวณ '!A:U, 21, FALSE), "")</f>
        <v>1</v>
      </c>
      <c r="J385" s="26">
        <f>IFERROR(VLOOKUP(VALUE(B385), 'คำนวณ '!A:V, 22, FALSE), "")</f>
        <v>1</v>
      </c>
      <c r="K385" s="27" t="s">
        <v>19</v>
      </c>
      <c r="U385" s="26"/>
      <c r="X385" s="26"/>
    </row>
    <row r="386" ht="15.0" customHeight="1">
      <c r="A386" s="11">
        <v>322.0</v>
      </c>
      <c r="B386" s="18" t="s">
        <v>830</v>
      </c>
      <c r="C386" s="36" t="s">
        <v>831</v>
      </c>
      <c r="D386" s="20" t="s">
        <v>28</v>
      </c>
      <c r="E386" s="21">
        <v>2.0</v>
      </c>
      <c r="F386" s="22" t="s">
        <v>83</v>
      </c>
      <c r="G386" s="23" t="s">
        <v>18</v>
      </c>
      <c r="H386" s="24" t="s">
        <v>12</v>
      </c>
      <c r="I386" s="25">
        <f>IFERROR(VLOOKUP(VALUE(B386), 'คำนวณ '!A:U, 21, FALSE), "")</f>
        <v>1</v>
      </c>
      <c r="J386" s="26">
        <f>IFERROR(VLOOKUP(VALUE(B386), 'คำนวณ '!A:V, 22, FALSE), "")</f>
        <v>1</v>
      </c>
      <c r="K386" s="27" t="s">
        <v>19</v>
      </c>
      <c r="U386" s="26"/>
      <c r="X386" s="26"/>
    </row>
    <row r="387" ht="15.0" customHeight="1">
      <c r="A387" s="11">
        <v>322.0</v>
      </c>
      <c r="B387" s="18" t="s">
        <v>832</v>
      </c>
      <c r="C387" s="36" t="s">
        <v>833</v>
      </c>
      <c r="D387" s="20" t="s">
        <v>28</v>
      </c>
      <c r="E387" s="21">
        <v>2.0</v>
      </c>
      <c r="F387" s="22" t="s">
        <v>83</v>
      </c>
      <c r="G387" s="23" t="s">
        <v>25</v>
      </c>
      <c r="H387" s="24" t="s">
        <v>11</v>
      </c>
      <c r="I387" s="25">
        <f>IFERROR(VLOOKUP(VALUE(B387), 'คำนวณ '!A:U, 21, FALSE), "")</f>
        <v>1</v>
      </c>
      <c r="J387" s="26">
        <f>IFERROR(VLOOKUP(VALUE(B387), 'คำนวณ '!A:V, 22, FALSE), "")</f>
        <v>1</v>
      </c>
      <c r="K387" s="27" t="s">
        <v>19</v>
      </c>
      <c r="U387" s="26"/>
      <c r="X387" s="26"/>
    </row>
    <row r="388" ht="15.0" customHeight="1">
      <c r="A388" s="11">
        <v>322.0</v>
      </c>
      <c r="B388" s="18" t="s">
        <v>834</v>
      </c>
      <c r="C388" s="36" t="s">
        <v>835</v>
      </c>
      <c r="D388" s="39"/>
      <c r="E388" s="40"/>
      <c r="F388" s="41"/>
      <c r="G388" s="23" t="s">
        <v>25</v>
      </c>
      <c r="H388" s="42"/>
      <c r="I388" s="25" t="str">
        <f>IFERROR(VLOOKUP(VALUE(B388), 'คำนวณ '!A:U, 21, FALSE), "")</f>
        <v/>
      </c>
      <c r="J388" s="26" t="str">
        <f>IFERROR(VLOOKUP(VALUE(B388), 'คำนวณ '!A:V, 22, FALSE), "")</f>
        <v/>
      </c>
      <c r="K388" s="27" t="s">
        <v>19</v>
      </c>
      <c r="U388" s="26"/>
      <c r="X388" s="26"/>
    </row>
    <row r="389" ht="15.0" customHeight="1">
      <c r="A389" s="11">
        <v>322.0</v>
      </c>
      <c r="B389" s="18" t="s">
        <v>836</v>
      </c>
      <c r="C389" s="36" t="s">
        <v>837</v>
      </c>
      <c r="D389" s="39"/>
      <c r="E389" s="40"/>
      <c r="F389" s="41"/>
      <c r="G389" s="23" t="s">
        <v>20</v>
      </c>
      <c r="H389" s="42"/>
      <c r="I389" s="25" t="str">
        <f>IFERROR(VLOOKUP(VALUE(B389), 'คำนวณ '!A:U, 21, FALSE), "")</f>
        <v/>
      </c>
      <c r="J389" s="26" t="str">
        <f>IFERROR(VLOOKUP(VALUE(B389), 'คำนวณ '!A:V, 22, FALSE), "")</f>
        <v/>
      </c>
      <c r="K389" s="27" t="s">
        <v>19</v>
      </c>
      <c r="U389" s="26"/>
      <c r="X389" s="26"/>
    </row>
    <row r="390" ht="15.0" customHeight="1">
      <c r="A390" s="11">
        <v>322.0</v>
      </c>
      <c r="B390" s="18" t="s">
        <v>838</v>
      </c>
      <c r="C390" s="36" t="s">
        <v>839</v>
      </c>
      <c r="D390" s="20" t="s">
        <v>28</v>
      </c>
      <c r="E390" s="21">
        <v>2.0</v>
      </c>
      <c r="F390" s="22" t="s">
        <v>83</v>
      </c>
      <c r="G390" s="23" t="s">
        <v>20</v>
      </c>
      <c r="H390" s="24" t="s">
        <v>11</v>
      </c>
      <c r="I390" s="25">
        <f>IFERROR(VLOOKUP(VALUE(B390), 'คำนวณ '!A:U, 21, FALSE), "")</f>
        <v>1</v>
      </c>
      <c r="J390" s="26">
        <f>IFERROR(VLOOKUP(VALUE(B390), 'คำนวณ '!A:V, 22, FALSE), "")</f>
        <v>1</v>
      </c>
      <c r="K390" s="27" t="s">
        <v>19</v>
      </c>
      <c r="U390" s="26"/>
      <c r="X390" s="26"/>
    </row>
    <row r="391" ht="15.75" customHeight="1">
      <c r="A391" s="11">
        <v>323.0</v>
      </c>
      <c r="B391" s="18" t="s">
        <v>840</v>
      </c>
      <c r="C391" s="36" t="s">
        <v>841</v>
      </c>
      <c r="D391" s="20" t="s">
        <v>28</v>
      </c>
      <c r="E391" s="21">
        <v>1.0</v>
      </c>
      <c r="F391" s="22" t="s">
        <v>774</v>
      </c>
      <c r="G391" s="23" t="s">
        <v>25</v>
      </c>
      <c r="H391" s="24" t="s">
        <v>11</v>
      </c>
      <c r="I391" s="25">
        <f>IFERROR(VLOOKUP(VALUE(B391), 'คำนวณ '!A:U, 21, FALSE), "")</f>
        <v>1</v>
      </c>
      <c r="J391" s="26">
        <f>IFERROR(VLOOKUP(VALUE(B391), 'คำนวณ '!A:V, 22, FALSE), "")</f>
        <v>1</v>
      </c>
      <c r="K391" s="27" t="s">
        <v>19</v>
      </c>
      <c r="U391" s="26"/>
      <c r="X391" s="26"/>
    </row>
    <row r="392" ht="15.0" customHeight="1">
      <c r="A392" s="11">
        <v>324.0</v>
      </c>
      <c r="B392" s="18" t="s">
        <v>842</v>
      </c>
      <c r="C392" s="36" t="s">
        <v>843</v>
      </c>
      <c r="D392" s="39"/>
      <c r="E392" s="40"/>
      <c r="F392" s="41"/>
      <c r="G392" s="23" t="s">
        <v>25</v>
      </c>
      <c r="H392" s="42"/>
      <c r="I392" s="25" t="str">
        <f>IFERROR(VLOOKUP(VALUE(B392), 'คำนวณ '!A:U, 21, FALSE), "")</f>
        <v/>
      </c>
      <c r="J392" s="26" t="str">
        <f>IFERROR(VLOOKUP(VALUE(B392), 'คำนวณ '!A:V, 22, FALSE), "")</f>
        <v/>
      </c>
      <c r="K392" s="27" t="s">
        <v>19</v>
      </c>
      <c r="U392" s="26"/>
      <c r="X392" s="26"/>
    </row>
    <row r="393" ht="15.0" customHeight="1">
      <c r="A393" s="11">
        <v>324.0</v>
      </c>
      <c r="B393" s="18" t="s">
        <v>844</v>
      </c>
      <c r="C393" s="36" t="s">
        <v>845</v>
      </c>
      <c r="D393" s="20" t="s">
        <v>66</v>
      </c>
      <c r="E393" s="21">
        <v>8.0</v>
      </c>
      <c r="F393" s="22" t="s">
        <v>846</v>
      </c>
      <c r="G393" s="23" t="s">
        <v>25</v>
      </c>
      <c r="H393" s="24" t="s">
        <v>11</v>
      </c>
      <c r="I393" s="25">
        <f>IFERROR(VLOOKUP(VALUE(B393), 'คำนวณ '!A:U, 21, FALSE), "")</f>
        <v>1</v>
      </c>
      <c r="J393" s="26">
        <f>IFERROR(VLOOKUP(VALUE(B393), 'คำนวณ '!A:V, 22, FALSE), "")</f>
        <v>1</v>
      </c>
      <c r="K393" s="27" t="s">
        <v>19</v>
      </c>
      <c r="U393" s="26"/>
      <c r="X393" s="26"/>
    </row>
    <row r="394" ht="15.0" customHeight="1">
      <c r="A394" s="11">
        <v>324.0</v>
      </c>
      <c r="B394" s="18" t="s">
        <v>847</v>
      </c>
      <c r="C394" s="36" t="s">
        <v>848</v>
      </c>
      <c r="D394" s="39"/>
      <c r="E394" s="40"/>
      <c r="F394" s="41"/>
      <c r="G394" s="23" t="s">
        <v>25</v>
      </c>
      <c r="H394" s="42"/>
      <c r="I394" s="25" t="str">
        <f>IFERROR(VLOOKUP(VALUE(B394), 'คำนวณ '!A:U, 21, FALSE), "")</f>
        <v/>
      </c>
      <c r="J394" s="26" t="str">
        <f>IFERROR(VLOOKUP(VALUE(B394), 'คำนวณ '!A:V, 22, FALSE), "")</f>
        <v/>
      </c>
      <c r="K394" s="27" t="s">
        <v>19</v>
      </c>
      <c r="U394" s="26"/>
      <c r="X394" s="26"/>
    </row>
    <row r="395" ht="15.0" customHeight="1">
      <c r="A395" s="11">
        <v>330.0</v>
      </c>
      <c r="B395" s="18" t="s">
        <v>849</v>
      </c>
      <c r="C395" s="36" t="s">
        <v>850</v>
      </c>
      <c r="D395" s="39"/>
      <c r="E395" s="40"/>
      <c r="F395" s="41"/>
      <c r="G395" s="23" t="s">
        <v>29</v>
      </c>
      <c r="H395" s="42"/>
      <c r="I395" s="25" t="str">
        <f>IFERROR(VLOOKUP(VALUE(B395), 'คำนวณ '!A:U, 21, FALSE), "")</f>
        <v/>
      </c>
      <c r="J395" s="26" t="str">
        <f>IFERROR(VLOOKUP(VALUE(B395), 'คำนวณ '!A:V, 22, FALSE), "")</f>
        <v/>
      </c>
      <c r="K395" s="27" t="s">
        <v>19</v>
      </c>
      <c r="U395" s="26"/>
      <c r="X395" s="26"/>
    </row>
    <row r="396" ht="15.0" customHeight="1">
      <c r="A396" s="11">
        <v>330.0</v>
      </c>
      <c r="B396" s="18" t="s">
        <v>851</v>
      </c>
      <c r="C396" s="36" t="s">
        <v>852</v>
      </c>
      <c r="D396" s="39"/>
      <c r="E396" s="40"/>
      <c r="F396" s="41"/>
      <c r="G396" s="23" t="s">
        <v>29</v>
      </c>
      <c r="H396" s="42"/>
      <c r="I396" s="25" t="str">
        <f>IFERROR(VLOOKUP(VALUE(B396), 'คำนวณ '!A:U, 21, FALSE), "")</f>
        <v/>
      </c>
      <c r="J396" s="26" t="str">
        <f>IFERROR(VLOOKUP(VALUE(B396), 'คำนวณ '!A:V, 22, FALSE), "")</f>
        <v/>
      </c>
      <c r="K396" s="27" t="s">
        <v>19</v>
      </c>
      <c r="U396" s="26"/>
      <c r="X396" s="26"/>
    </row>
    <row r="397" ht="15.0" customHeight="1">
      <c r="A397" s="11">
        <v>330.0</v>
      </c>
      <c r="B397" s="18" t="s">
        <v>853</v>
      </c>
      <c r="C397" s="36" t="s">
        <v>854</v>
      </c>
      <c r="D397" s="39"/>
      <c r="E397" s="40"/>
      <c r="F397" s="41"/>
      <c r="G397" s="23" t="s">
        <v>29</v>
      </c>
      <c r="H397" s="42"/>
      <c r="I397" s="25" t="str">
        <f>IFERROR(VLOOKUP(VALUE(B397), 'คำนวณ '!A:U, 21, FALSE), "")</f>
        <v/>
      </c>
      <c r="J397" s="26" t="str">
        <f>IFERROR(VLOOKUP(VALUE(B397), 'คำนวณ '!A:V, 22, FALSE), "")</f>
        <v/>
      </c>
      <c r="K397" s="27" t="s">
        <v>19</v>
      </c>
      <c r="U397" s="26"/>
      <c r="X397" s="26"/>
    </row>
    <row r="398" ht="15.0" customHeight="1">
      <c r="A398" s="11">
        <v>330.0</v>
      </c>
      <c r="B398" s="18" t="s">
        <v>855</v>
      </c>
      <c r="C398" s="36" t="s">
        <v>856</v>
      </c>
      <c r="D398" s="20" t="s">
        <v>60</v>
      </c>
      <c r="E398" s="21">
        <v>4.0</v>
      </c>
      <c r="F398" s="22" t="s">
        <v>38</v>
      </c>
      <c r="G398" s="23" t="s">
        <v>29</v>
      </c>
      <c r="H398" s="24" t="s">
        <v>11</v>
      </c>
      <c r="I398" s="25">
        <f>IFERROR(VLOOKUP(VALUE(B398), 'คำนวณ '!A:U, 21, FALSE), "")</f>
        <v>1</v>
      </c>
      <c r="J398" s="26">
        <f>IFERROR(VLOOKUP(VALUE(B398), 'คำนวณ '!A:V, 22, FALSE), "")</f>
        <v>1</v>
      </c>
      <c r="K398" s="27" t="s">
        <v>19</v>
      </c>
      <c r="U398" s="26"/>
      <c r="X398" s="26"/>
    </row>
    <row r="399" ht="15.0" customHeight="1">
      <c r="A399" s="11">
        <v>330.0</v>
      </c>
      <c r="B399" s="18" t="s">
        <v>857</v>
      </c>
      <c r="C399" s="36" t="s">
        <v>858</v>
      </c>
      <c r="D399" s="20" t="s">
        <v>60</v>
      </c>
      <c r="E399" s="21">
        <v>4.0</v>
      </c>
      <c r="F399" s="22" t="s">
        <v>38</v>
      </c>
      <c r="G399" s="23" t="s">
        <v>29</v>
      </c>
      <c r="H399" s="24" t="s">
        <v>11</v>
      </c>
      <c r="I399" s="25">
        <f>IFERROR(VLOOKUP(VALUE(B399), 'คำนวณ '!A:U, 21, FALSE), "")</f>
        <v>1</v>
      </c>
      <c r="J399" s="26">
        <f>IFERROR(VLOOKUP(VALUE(B399), 'คำนวณ '!A:V, 22, FALSE), "")</f>
        <v>1</v>
      </c>
      <c r="K399" s="27" t="s">
        <v>19</v>
      </c>
      <c r="U399" s="26"/>
      <c r="X399" s="26"/>
    </row>
    <row r="400" ht="15.0" customHeight="1">
      <c r="A400" s="11">
        <v>330.0</v>
      </c>
      <c r="B400" s="18" t="s">
        <v>859</v>
      </c>
      <c r="C400" s="36" t="s">
        <v>860</v>
      </c>
      <c r="D400" s="20" t="s">
        <v>60</v>
      </c>
      <c r="E400" s="21">
        <v>4.0</v>
      </c>
      <c r="F400" s="22" t="s">
        <v>38</v>
      </c>
      <c r="G400" s="23" t="s">
        <v>29</v>
      </c>
      <c r="H400" s="24" t="s">
        <v>11</v>
      </c>
      <c r="I400" s="25">
        <f>IFERROR(VLOOKUP(VALUE(B400), 'คำนวณ '!A:U, 21, FALSE), "")</f>
        <v>1</v>
      </c>
      <c r="J400" s="26">
        <f>IFERROR(VLOOKUP(VALUE(B400), 'คำนวณ '!A:V, 22, FALSE), "")</f>
        <v>1</v>
      </c>
      <c r="K400" s="27" t="s">
        <v>19</v>
      </c>
      <c r="U400" s="26"/>
      <c r="X400" s="26"/>
    </row>
    <row r="401" ht="15.0" customHeight="1">
      <c r="A401" s="11">
        <v>330.0</v>
      </c>
      <c r="B401" s="18" t="s">
        <v>861</v>
      </c>
      <c r="C401" s="36" t="s">
        <v>862</v>
      </c>
      <c r="D401" s="39"/>
      <c r="E401" s="40"/>
      <c r="F401" s="41"/>
      <c r="G401" s="23" t="s">
        <v>29</v>
      </c>
      <c r="H401" s="42"/>
      <c r="I401" s="25" t="str">
        <f>IFERROR(VLOOKUP(VALUE(B401), 'คำนวณ '!A:U, 21, FALSE), "")</f>
        <v/>
      </c>
      <c r="J401" s="26" t="str">
        <f>IFERROR(VLOOKUP(VALUE(B401), 'คำนวณ '!A:V, 22, FALSE), "")</f>
        <v/>
      </c>
      <c r="K401" s="27" t="s">
        <v>19</v>
      </c>
      <c r="U401" s="26"/>
      <c r="X401" s="26"/>
    </row>
    <row r="402" ht="15.0" customHeight="1">
      <c r="A402" s="11">
        <v>330.0</v>
      </c>
      <c r="B402" s="18" t="s">
        <v>863</v>
      </c>
      <c r="C402" s="36" t="s">
        <v>864</v>
      </c>
      <c r="D402" s="39"/>
      <c r="E402" s="40"/>
      <c r="F402" s="41"/>
      <c r="G402" s="23" t="s">
        <v>29</v>
      </c>
      <c r="H402" s="42"/>
      <c r="I402" s="25" t="str">
        <f>IFERROR(VLOOKUP(VALUE(B402), 'คำนวณ '!A:U, 21, FALSE), "")</f>
        <v/>
      </c>
      <c r="J402" s="26" t="str">
        <f>IFERROR(VLOOKUP(VALUE(B402), 'คำนวณ '!A:V, 22, FALSE), "")</f>
        <v/>
      </c>
      <c r="K402" s="27" t="s">
        <v>19</v>
      </c>
      <c r="U402" s="26"/>
      <c r="X402" s="26"/>
    </row>
    <row r="403" ht="15.0" customHeight="1">
      <c r="A403" s="11">
        <v>340.0</v>
      </c>
      <c r="B403" s="18" t="s">
        <v>865</v>
      </c>
      <c r="C403" s="36" t="s">
        <v>866</v>
      </c>
      <c r="D403" s="39"/>
      <c r="E403" s="40"/>
      <c r="F403" s="41"/>
      <c r="G403" s="23" t="s">
        <v>20</v>
      </c>
      <c r="H403" s="42"/>
      <c r="I403" s="25" t="str">
        <f>IFERROR(VLOOKUP(VALUE(B403), 'คำนวณ '!A:U, 21, FALSE), "")</f>
        <v/>
      </c>
      <c r="J403" s="26" t="str">
        <f>IFERROR(VLOOKUP(VALUE(B403), 'คำนวณ '!A:V, 22, FALSE), "")</f>
        <v/>
      </c>
      <c r="K403" s="27" t="s">
        <v>19</v>
      </c>
      <c r="U403" s="26"/>
      <c r="X403" s="26"/>
    </row>
    <row r="404" ht="15.0" customHeight="1">
      <c r="A404" s="11">
        <v>340.0</v>
      </c>
      <c r="B404" s="18" t="s">
        <v>867</v>
      </c>
      <c r="C404" s="36" t="s">
        <v>868</v>
      </c>
      <c r="D404" s="20" t="s">
        <v>28</v>
      </c>
      <c r="E404" s="21">
        <v>4.0</v>
      </c>
      <c r="F404" s="22" t="s">
        <v>38</v>
      </c>
      <c r="G404" s="23" t="s">
        <v>20</v>
      </c>
      <c r="H404" s="24" t="s">
        <v>11</v>
      </c>
      <c r="I404" s="25">
        <f>IFERROR(VLOOKUP(VALUE(B404), 'คำนวณ '!A:U, 21, FALSE), "")</f>
        <v>1</v>
      </c>
      <c r="J404" s="26">
        <f>IFERROR(VLOOKUP(VALUE(B404), 'คำนวณ '!A:V, 22, FALSE), "")</f>
        <v>1</v>
      </c>
      <c r="K404" s="27" t="s">
        <v>19</v>
      </c>
      <c r="U404" s="26"/>
      <c r="X404" s="26"/>
    </row>
    <row r="405" ht="15.0" customHeight="1">
      <c r="A405" s="11">
        <v>340.0</v>
      </c>
      <c r="B405" s="18" t="s">
        <v>869</v>
      </c>
      <c r="C405" s="36" t="s">
        <v>870</v>
      </c>
      <c r="D405" s="39"/>
      <c r="E405" s="40"/>
      <c r="F405" s="41"/>
      <c r="G405" s="23" t="s">
        <v>20</v>
      </c>
      <c r="H405" s="42"/>
      <c r="I405" s="25" t="str">
        <f>IFERROR(VLOOKUP(VALUE(B405), 'คำนวณ '!A:U, 21, FALSE), "")</f>
        <v/>
      </c>
      <c r="J405" s="26" t="str">
        <f>IFERROR(VLOOKUP(VALUE(B405), 'คำนวณ '!A:V, 22, FALSE), "")</f>
        <v/>
      </c>
      <c r="K405" s="27" t="s">
        <v>19</v>
      </c>
      <c r="U405" s="26"/>
      <c r="X405" s="26"/>
    </row>
    <row r="406" ht="15.0" customHeight="1">
      <c r="A406" s="11">
        <v>340.0</v>
      </c>
      <c r="B406" s="18" t="s">
        <v>871</v>
      </c>
      <c r="C406" s="36" t="s">
        <v>872</v>
      </c>
      <c r="D406" s="39"/>
      <c r="E406" s="40"/>
      <c r="F406" s="41"/>
      <c r="G406" s="23" t="s">
        <v>25</v>
      </c>
      <c r="H406" s="42"/>
      <c r="I406" s="25" t="str">
        <f>IFERROR(VLOOKUP(VALUE(B406), 'คำนวณ '!A:U, 21, FALSE), "")</f>
        <v/>
      </c>
      <c r="J406" s="26" t="str">
        <f>IFERROR(VLOOKUP(VALUE(B406), 'คำนวณ '!A:V, 22, FALSE), "")</f>
        <v/>
      </c>
      <c r="K406" s="27" t="s">
        <v>19</v>
      </c>
      <c r="U406" s="26"/>
      <c r="X406" s="26"/>
    </row>
    <row r="407" ht="15.0" customHeight="1">
      <c r="A407" s="11">
        <v>340.0</v>
      </c>
      <c r="B407" s="18" t="s">
        <v>873</v>
      </c>
      <c r="C407" s="36" t="s">
        <v>874</v>
      </c>
      <c r="D407" s="39"/>
      <c r="E407" s="40"/>
      <c r="F407" s="41"/>
      <c r="G407" s="23" t="s">
        <v>20</v>
      </c>
      <c r="H407" s="42"/>
      <c r="I407" s="25" t="str">
        <f>IFERROR(VLOOKUP(VALUE(B407), 'คำนวณ '!A:U, 21, FALSE), "")</f>
        <v/>
      </c>
      <c r="J407" s="26" t="str">
        <f>IFERROR(VLOOKUP(VALUE(B407), 'คำนวณ '!A:V, 22, FALSE), "")</f>
        <v/>
      </c>
      <c r="K407" s="27" t="s">
        <v>19</v>
      </c>
      <c r="U407" s="26"/>
      <c r="X407" s="26"/>
    </row>
    <row r="408" ht="15.0" customHeight="1">
      <c r="A408" s="11">
        <v>340.0</v>
      </c>
      <c r="B408" s="18" t="s">
        <v>875</v>
      </c>
      <c r="C408" s="36" t="s">
        <v>876</v>
      </c>
      <c r="D408" s="20" t="s">
        <v>28</v>
      </c>
      <c r="E408" s="21">
        <v>8.0</v>
      </c>
      <c r="F408" s="22" t="s">
        <v>877</v>
      </c>
      <c r="G408" s="23" t="s">
        <v>20</v>
      </c>
      <c r="H408" s="24" t="s">
        <v>11</v>
      </c>
      <c r="I408" s="25">
        <f>IFERROR(VLOOKUP(VALUE(B408), 'คำนวณ '!A:U, 21, FALSE), "")</f>
        <v>1</v>
      </c>
      <c r="J408" s="26" t="str">
        <f>IFERROR(VLOOKUP(VALUE(B408), 'คำนวณ '!A:V, 22, FALSE), "")</f>
        <v/>
      </c>
      <c r="K408" s="47" t="s">
        <v>10</v>
      </c>
      <c r="U408" s="26"/>
      <c r="X408" s="26"/>
    </row>
    <row r="409" ht="15.0" customHeight="1">
      <c r="A409" s="11">
        <v>340.0</v>
      </c>
      <c r="B409" s="18" t="s">
        <v>878</v>
      </c>
      <c r="C409" s="36" t="s">
        <v>879</v>
      </c>
      <c r="D409" s="39"/>
      <c r="E409" s="40"/>
      <c r="F409" s="41"/>
      <c r="G409" s="23" t="s">
        <v>20</v>
      </c>
      <c r="H409" s="42"/>
      <c r="I409" s="25" t="str">
        <f>IFERROR(VLOOKUP(VALUE(B409), 'คำนวณ '!A:U, 21, FALSE), "")</f>
        <v/>
      </c>
      <c r="J409" s="26" t="str">
        <f>IFERROR(VLOOKUP(VALUE(B409), 'คำนวณ '!A:V, 22, FALSE), "")</f>
        <v/>
      </c>
      <c r="K409" s="27" t="s">
        <v>19</v>
      </c>
      <c r="U409" s="26"/>
      <c r="X409" s="26"/>
    </row>
    <row r="410" ht="15.0" customHeight="1">
      <c r="A410" s="11">
        <v>340.0</v>
      </c>
      <c r="B410" s="18" t="s">
        <v>880</v>
      </c>
      <c r="C410" s="36" t="s">
        <v>881</v>
      </c>
      <c r="D410" s="39"/>
      <c r="E410" s="40"/>
      <c r="F410" s="41"/>
      <c r="G410" s="23" t="s">
        <v>20</v>
      </c>
      <c r="H410" s="42"/>
      <c r="I410" s="25" t="str">
        <f>IFERROR(VLOOKUP(VALUE(B410), 'คำนวณ '!A:U, 21, FALSE), "")</f>
        <v/>
      </c>
      <c r="J410" s="26" t="str">
        <f>IFERROR(VLOOKUP(VALUE(B410), 'คำนวณ '!A:V, 22, FALSE), "")</f>
        <v/>
      </c>
      <c r="K410" s="27" t="s">
        <v>19</v>
      </c>
      <c r="U410" s="26"/>
      <c r="X410" s="26"/>
    </row>
    <row r="411" ht="15.0" customHeight="1">
      <c r="A411" s="11">
        <v>340.0</v>
      </c>
      <c r="B411" s="18" t="s">
        <v>882</v>
      </c>
      <c r="C411" s="36" t="s">
        <v>883</v>
      </c>
      <c r="D411" s="20" t="s">
        <v>28</v>
      </c>
      <c r="E411" s="21">
        <v>5.0</v>
      </c>
      <c r="F411" s="63" t="s">
        <v>884</v>
      </c>
      <c r="G411" s="23" t="s">
        <v>20</v>
      </c>
      <c r="H411" s="24" t="s">
        <v>11</v>
      </c>
      <c r="I411" s="25">
        <f>IFERROR(VLOOKUP(VALUE(B411), 'คำนวณ '!A:U, 21, FALSE), "")</f>
        <v>1</v>
      </c>
      <c r="J411" s="26">
        <f>IFERROR(VLOOKUP(VALUE(B411), 'คำนวณ '!A:V, 22, FALSE), "")</f>
        <v>1</v>
      </c>
      <c r="K411" s="27" t="s">
        <v>19</v>
      </c>
      <c r="U411" s="26"/>
      <c r="X411" s="26"/>
    </row>
    <row r="412" ht="15.0" customHeight="1">
      <c r="A412" s="11">
        <v>340.0</v>
      </c>
      <c r="B412" s="18" t="s">
        <v>885</v>
      </c>
      <c r="C412" s="36" t="s">
        <v>886</v>
      </c>
      <c r="D412" s="20" t="s">
        <v>28</v>
      </c>
      <c r="E412" s="21">
        <v>2.0</v>
      </c>
      <c r="F412" s="22" t="s">
        <v>83</v>
      </c>
      <c r="G412" s="23" t="s">
        <v>20</v>
      </c>
      <c r="H412" s="24" t="s">
        <v>11</v>
      </c>
      <c r="I412" s="25">
        <f>IFERROR(VLOOKUP(VALUE(B412), 'คำนวณ '!A:U, 21, FALSE), "")</f>
        <v>1</v>
      </c>
      <c r="J412" s="26">
        <f>IFERROR(VLOOKUP(VALUE(B412), 'คำนวณ '!A:V, 22, FALSE), "")</f>
        <v>1</v>
      </c>
      <c r="K412" s="27" t="s">
        <v>19</v>
      </c>
      <c r="U412" s="26"/>
      <c r="X412" s="26"/>
    </row>
    <row r="413" ht="15.0" customHeight="1">
      <c r="A413" s="11">
        <v>340.0</v>
      </c>
      <c r="B413" s="18" t="s">
        <v>887</v>
      </c>
      <c r="C413" s="36" t="s">
        <v>888</v>
      </c>
      <c r="D413" s="20" t="s">
        <v>28</v>
      </c>
      <c r="E413" s="21">
        <v>2.0</v>
      </c>
      <c r="F413" s="22" t="s">
        <v>83</v>
      </c>
      <c r="G413" s="23" t="s">
        <v>20</v>
      </c>
      <c r="H413" s="24" t="s">
        <v>11</v>
      </c>
      <c r="I413" s="25">
        <f>IFERROR(VLOOKUP(VALUE(B413), 'คำนวณ '!A:U, 21, FALSE), "")</f>
        <v>1</v>
      </c>
      <c r="J413" s="26" t="str">
        <f>IFERROR(VLOOKUP(VALUE(B413), 'คำนวณ '!A:V, 22, FALSE), "")</f>
        <v/>
      </c>
      <c r="K413" s="27" t="s">
        <v>19</v>
      </c>
      <c r="U413" s="26"/>
      <c r="X413" s="26"/>
    </row>
    <row r="414" ht="15.0" customHeight="1">
      <c r="A414" s="11">
        <v>351.0</v>
      </c>
      <c r="B414" s="18" t="s">
        <v>889</v>
      </c>
      <c r="C414" s="36" t="s">
        <v>890</v>
      </c>
      <c r="D414" s="20" t="s">
        <v>69</v>
      </c>
      <c r="E414" s="21">
        <v>4.0</v>
      </c>
      <c r="F414" s="22" t="s">
        <v>38</v>
      </c>
      <c r="G414" s="23" t="s">
        <v>25</v>
      </c>
      <c r="H414" s="24" t="s">
        <v>11</v>
      </c>
      <c r="I414" s="25">
        <f>IFERROR(VLOOKUP(VALUE(B414), 'คำนวณ '!A:U, 21, FALSE), "")</f>
        <v>1</v>
      </c>
      <c r="J414" s="26">
        <f>IFERROR(VLOOKUP(VALUE(B414), 'คำนวณ '!A:V, 22, FALSE), "")</f>
        <v>1</v>
      </c>
      <c r="K414" s="27" t="s">
        <v>19</v>
      </c>
      <c r="U414" s="26"/>
      <c r="X414" s="26"/>
    </row>
    <row r="415" ht="15.0" customHeight="1">
      <c r="A415" s="11">
        <v>351.0</v>
      </c>
      <c r="B415" s="18" t="s">
        <v>891</v>
      </c>
      <c r="C415" s="36" t="s">
        <v>892</v>
      </c>
      <c r="D415" s="20" t="s">
        <v>69</v>
      </c>
      <c r="E415" s="21">
        <v>4.0</v>
      </c>
      <c r="F415" s="22" t="s">
        <v>38</v>
      </c>
      <c r="G415" s="23" t="s">
        <v>25</v>
      </c>
      <c r="H415" s="24" t="s">
        <v>11</v>
      </c>
      <c r="I415" s="25">
        <f>IFERROR(VLOOKUP(VALUE(B415), 'คำนวณ '!A:U, 21, FALSE), "")</f>
        <v>1</v>
      </c>
      <c r="J415" s="26" t="str">
        <f>IFERROR(VLOOKUP(VALUE(B415), 'คำนวณ '!A:V, 22, FALSE), "")</f>
        <v/>
      </c>
      <c r="K415" s="27" t="s">
        <v>19</v>
      </c>
      <c r="U415" s="26"/>
      <c r="X415" s="26"/>
    </row>
    <row r="416" ht="15.0" customHeight="1">
      <c r="A416" s="11">
        <v>351.0</v>
      </c>
      <c r="B416" s="18" t="s">
        <v>893</v>
      </c>
      <c r="C416" s="36" t="s">
        <v>894</v>
      </c>
      <c r="D416" s="39"/>
      <c r="E416" s="40"/>
      <c r="F416" s="41"/>
      <c r="G416" s="23" t="s">
        <v>25</v>
      </c>
      <c r="H416" s="42"/>
      <c r="I416" s="25" t="str">
        <f>IFERROR(VLOOKUP(VALUE(B416), 'คำนวณ '!A:U, 21, FALSE), "")</f>
        <v/>
      </c>
      <c r="J416" s="26" t="str">
        <f>IFERROR(VLOOKUP(VALUE(B416), 'คำนวณ '!A:V, 22, FALSE), "")</f>
        <v/>
      </c>
      <c r="K416" s="27" t="s">
        <v>19</v>
      </c>
      <c r="U416" s="26"/>
      <c r="X416" s="26"/>
    </row>
    <row r="417" ht="15.0" customHeight="1">
      <c r="A417" s="11">
        <v>351.0</v>
      </c>
      <c r="B417" s="18" t="s">
        <v>895</v>
      </c>
      <c r="C417" s="36" t="s">
        <v>896</v>
      </c>
      <c r="D417" s="20" t="s">
        <v>69</v>
      </c>
      <c r="E417" s="21">
        <v>4.0</v>
      </c>
      <c r="F417" s="22" t="s">
        <v>38</v>
      </c>
      <c r="G417" s="23" t="s">
        <v>29</v>
      </c>
      <c r="H417" s="24" t="s">
        <v>11</v>
      </c>
      <c r="I417" s="25">
        <f>IFERROR(VLOOKUP(VALUE(B417), 'คำนวณ '!A:U, 21, FALSE), "")</f>
        <v>1</v>
      </c>
      <c r="J417" s="26">
        <f>IFERROR(VLOOKUP(VALUE(B417), 'คำนวณ '!A:V, 22, FALSE), "")</f>
        <v>1</v>
      </c>
      <c r="K417" s="27" t="s">
        <v>19</v>
      </c>
      <c r="U417" s="26"/>
      <c r="X417" s="26"/>
    </row>
    <row r="418" ht="15.0" customHeight="1">
      <c r="A418" s="11">
        <v>351.0</v>
      </c>
      <c r="B418" s="18" t="s">
        <v>897</v>
      </c>
      <c r="C418" s="36" t="s">
        <v>898</v>
      </c>
      <c r="D418" s="20" t="s">
        <v>69</v>
      </c>
      <c r="E418" s="21">
        <v>4.0</v>
      </c>
      <c r="F418" s="22" t="s">
        <v>38</v>
      </c>
      <c r="G418" s="23" t="s">
        <v>25</v>
      </c>
      <c r="H418" s="24" t="s">
        <v>11</v>
      </c>
      <c r="I418" s="25">
        <f>IFERROR(VLOOKUP(VALUE(B418), 'คำนวณ '!A:U, 21, FALSE), "")</f>
        <v>1</v>
      </c>
      <c r="J418" s="26" t="str">
        <f>IFERROR(VLOOKUP(VALUE(B418), 'คำนวณ '!A:V, 22, FALSE), "")</f>
        <v/>
      </c>
      <c r="K418" s="27" t="s">
        <v>19</v>
      </c>
      <c r="U418" s="26"/>
      <c r="X418" s="26"/>
    </row>
    <row r="419" ht="15.0" customHeight="1">
      <c r="A419" s="11">
        <v>352.0</v>
      </c>
      <c r="B419" s="18" t="s">
        <v>899</v>
      </c>
      <c r="C419" s="36" t="s">
        <v>900</v>
      </c>
      <c r="D419" s="20" t="s">
        <v>73</v>
      </c>
      <c r="E419" s="21">
        <v>4.0</v>
      </c>
      <c r="F419" s="22" t="s">
        <v>38</v>
      </c>
      <c r="G419" s="23" t="s">
        <v>25</v>
      </c>
      <c r="H419" s="24" t="s">
        <v>11</v>
      </c>
      <c r="I419" s="25">
        <f>IFERROR(VLOOKUP(VALUE(B419), 'คำนวณ '!A:U, 21, FALSE), "")</f>
        <v>1</v>
      </c>
      <c r="J419" s="26">
        <f>IFERROR(VLOOKUP(VALUE(B419), 'คำนวณ '!A:V, 22, FALSE), "")</f>
        <v>1</v>
      </c>
      <c r="K419" s="27" t="s">
        <v>19</v>
      </c>
      <c r="U419" s="26"/>
      <c r="X419" s="26"/>
    </row>
    <row r="420" ht="15.0" customHeight="1">
      <c r="A420" s="11">
        <v>352.0</v>
      </c>
      <c r="B420" s="18" t="s">
        <v>901</v>
      </c>
      <c r="C420" s="36" t="s">
        <v>902</v>
      </c>
      <c r="D420" s="20" t="s">
        <v>73</v>
      </c>
      <c r="E420" s="21">
        <v>4.0</v>
      </c>
      <c r="F420" s="22" t="s">
        <v>38</v>
      </c>
      <c r="G420" s="23" t="s">
        <v>25</v>
      </c>
      <c r="H420" s="24" t="s">
        <v>11</v>
      </c>
      <c r="I420" s="25">
        <f>IFERROR(VLOOKUP(VALUE(B420), 'คำนวณ '!A:U, 21, FALSE), "")</f>
        <v>1</v>
      </c>
      <c r="J420" s="26">
        <f>IFERROR(VLOOKUP(VALUE(B420), 'คำนวณ '!A:V, 22, FALSE), "")</f>
        <v>1</v>
      </c>
      <c r="K420" s="47" t="s">
        <v>10</v>
      </c>
      <c r="U420" s="26"/>
      <c r="X420" s="26"/>
    </row>
    <row r="421" ht="15.0" customHeight="1">
      <c r="A421" s="11">
        <v>352.0</v>
      </c>
      <c r="B421" s="18" t="s">
        <v>903</v>
      </c>
      <c r="C421" s="36" t="s">
        <v>904</v>
      </c>
      <c r="D421" s="20" t="s">
        <v>73</v>
      </c>
      <c r="E421" s="21">
        <v>4.0</v>
      </c>
      <c r="F421" s="22" t="s">
        <v>38</v>
      </c>
      <c r="G421" s="23" t="s">
        <v>25</v>
      </c>
      <c r="H421" s="24" t="s">
        <v>11</v>
      </c>
      <c r="I421" s="25">
        <f>IFERROR(VLOOKUP(VALUE(B421), 'คำนวณ '!A:U, 21, FALSE), "")</f>
        <v>1</v>
      </c>
      <c r="J421" s="26">
        <f>IFERROR(VLOOKUP(VALUE(B421), 'คำนวณ '!A:V, 22, FALSE), "")</f>
        <v>1</v>
      </c>
      <c r="K421" s="27" t="s">
        <v>19</v>
      </c>
      <c r="U421" s="26"/>
      <c r="X421" s="26"/>
    </row>
    <row r="422" ht="15.0" customHeight="1">
      <c r="A422" s="11">
        <v>352.0</v>
      </c>
      <c r="B422" s="18" t="s">
        <v>905</v>
      </c>
      <c r="C422" s="36" t="s">
        <v>906</v>
      </c>
      <c r="D422" s="20" t="s">
        <v>73</v>
      </c>
      <c r="E422" s="21">
        <v>4.0</v>
      </c>
      <c r="F422" s="22" t="s">
        <v>38</v>
      </c>
      <c r="G422" s="23" t="s">
        <v>25</v>
      </c>
      <c r="H422" s="24" t="s">
        <v>11</v>
      </c>
      <c r="I422" s="25">
        <f>IFERROR(VLOOKUP(VALUE(B422), 'คำนวณ '!A:U, 21, FALSE), "")</f>
        <v>1</v>
      </c>
      <c r="J422" s="26">
        <f>IFERROR(VLOOKUP(VALUE(B422), 'คำนวณ '!A:V, 22, FALSE), "")</f>
        <v>1</v>
      </c>
      <c r="K422" s="27" t="s">
        <v>19</v>
      </c>
      <c r="U422" s="26"/>
      <c r="X422" s="26"/>
    </row>
    <row r="423" ht="15.0" customHeight="1">
      <c r="A423" s="11">
        <v>352.0</v>
      </c>
      <c r="B423" s="18" t="s">
        <v>907</v>
      </c>
      <c r="C423" s="36" t="s">
        <v>908</v>
      </c>
      <c r="D423" s="20" t="s">
        <v>73</v>
      </c>
      <c r="E423" s="21">
        <v>4.0</v>
      </c>
      <c r="F423" s="22" t="s">
        <v>38</v>
      </c>
      <c r="G423" s="23" t="s">
        <v>25</v>
      </c>
      <c r="H423" s="24" t="s">
        <v>11</v>
      </c>
      <c r="I423" s="25">
        <f>IFERROR(VLOOKUP(VALUE(B423), 'คำนวณ '!A:U, 21, FALSE), "")</f>
        <v>1</v>
      </c>
      <c r="J423" s="26">
        <f>IFERROR(VLOOKUP(VALUE(B423), 'คำนวณ '!A:V, 22, FALSE), "")</f>
        <v>1</v>
      </c>
      <c r="K423" s="27" t="s">
        <v>19</v>
      </c>
      <c r="U423" s="26"/>
      <c r="X423" s="26"/>
    </row>
    <row r="424" ht="15.0" customHeight="1">
      <c r="A424" s="11">
        <v>352.0</v>
      </c>
      <c r="B424" s="18" t="s">
        <v>909</v>
      </c>
      <c r="C424" s="36" t="s">
        <v>910</v>
      </c>
      <c r="D424" s="39"/>
      <c r="E424" s="40"/>
      <c r="F424" s="41"/>
      <c r="G424" s="23" t="s">
        <v>25</v>
      </c>
      <c r="H424" s="42"/>
      <c r="I424" s="25" t="str">
        <f>IFERROR(VLOOKUP(VALUE(B424), 'คำนวณ '!A:U, 21, FALSE), "")</f>
        <v/>
      </c>
      <c r="J424" s="26" t="str">
        <f>IFERROR(VLOOKUP(VALUE(B424), 'คำนวณ '!A:V, 22, FALSE), "")</f>
        <v/>
      </c>
      <c r="K424" s="27" t="s">
        <v>19</v>
      </c>
      <c r="U424" s="26"/>
      <c r="X424" s="26"/>
    </row>
    <row r="425" ht="15.0" customHeight="1">
      <c r="A425" s="11">
        <v>352.0</v>
      </c>
      <c r="B425" s="18" t="s">
        <v>911</v>
      </c>
      <c r="C425" s="36" t="s">
        <v>912</v>
      </c>
      <c r="D425" s="39"/>
      <c r="E425" s="40"/>
      <c r="F425" s="41"/>
      <c r="G425" s="23" t="s">
        <v>25</v>
      </c>
      <c r="H425" s="42"/>
      <c r="I425" s="25" t="str">
        <f>IFERROR(VLOOKUP(VALUE(B425), 'คำนวณ '!A:U, 21, FALSE), "")</f>
        <v/>
      </c>
      <c r="J425" s="26" t="str">
        <f>IFERROR(VLOOKUP(VALUE(B425), 'คำนวณ '!A:V, 22, FALSE), "")</f>
        <v/>
      </c>
      <c r="K425" s="27" t="s">
        <v>19</v>
      </c>
      <c r="U425" s="26"/>
      <c r="X425" s="26"/>
    </row>
    <row r="426" ht="15.0" customHeight="1">
      <c r="A426" s="11">
        <v>352.0</v>
      </c>
      <c r="B426" s="18" t="s">
        <v>913</v>
      </c>
      <c r="C426" s="36" t="s">
        <v>914</v>
      </c>
      <c r="D426" s="20" t="s">
        <v>73</v>
      </c>
      <c r="E426" s="21">
        <v>4.0</v>
      </c>
      <c r="F426" s="22" t="s">
        <v>38</v>
      </c>
      <c r="G426" s="23" t="s">
        <v>25</v>
      </c>
      <c r="H426" s="24" t="s">
        <v>11</v>
      </c>
      <c r="I426" s="25">
        <f>IFERROR(VLOOKUP(VALUE(B426), 'คำนวณ '!A:U, 21, FALSE), "")</f>
        <v>1</v>
      </c>
      <c r="J426" s="26" t="str">
        <f>IFERROR(VLOOKUP(VALUE(B426), 'คำนวณ '!A:V, 22, FALSE), "")</f>
        <v/>
      </c>
      <c r="K426" s="27" t="s">
        <v>19</v>
      </c>
      <c r="U426" s="26"/>
      <c r="X426" s="26"/>
    </row>
    <row r="427" ht="15.0" customHeight="1">
      <c r="A427" s="11">
        <v>352.0</v>
      </c>
      <c r="B427" s="18" t="s">
        <v>915</v>
      </c>
      <c r="C427" s="36" t="s">
        <v>916</v>
      </c>
      <c r="D427" s="20" t="s">
        <v>73</v>
      </c>
      <c r="E427" s="21">
        <v>4.0</v>
      </c>
      <c r="F427" s="22" t="s">
        <v>38</v>
      </c>
      <c r="G427" s="23" t="s">
        <v>25</v>
      </c>
      <c r="H427" s="24" t="s">
        <v>11</v>
      </c>
      <c r="I427" s="25">
        <f>IFERROR(VLOOKUP(VALUE(B427), 'คำนวณ '!A:U, 21, FALSE), "")</f>
        <v>1</v>
      </c>
      <c r="J427" s="26">
        <f>IFERROR(VLOOKUP(VALUE(B427), 'คำนวณ '!A:V, 22, FALSE), "")</f>
        <v>1</v>
      </c>
      <c r="K427" s="47" t="s">
        <v>10</v>
      </c>
      <c r="U427" s="26"/>
      <c r="X427" s="26"/>
    </row>
    <row r="428" ht="15.0" customHeight="1">
      <c r="A428" s="11">
        <v>352.0</v>
      </c>
      <c r="B428" s="18" t="s">
        <v>917</v>
      </c>
      <c r="C428" s="36" t="s">
        <v>918</v>
      </c>
      <c r="D428" s="20" t="s">
        <v>73</v>
      </c>
      <c r="E428" s="21">
        <v>4.0</v>
      </c>
      <c r="F428" s="22" t="s">
        <v>38</v>
      </c>
      <c r="G428" s="23" t="s">
        <v>25</v>
      </c>
      <c r="H428" s="24" t="s">
        <v>11</v>
      </c>
      <c r="I428" s="25">
        <f>IFERROR(VLOOKUP(VALUE(B428), 'คำนวณ '!A:U, 21, FALSE), "")</f>
        <v>1</v>
      </c>
      <c r="J428" s="26" t="str">
        <f>IFERROR(VLOOKUP(VALUE(B428), 'คำนวณ '!A:V, 22, FALSE), "")</f>
        <v/>
      </c>
      <c r="K428" s="27" t="s">
        <v>19</v>
      </c>
      <c r="U428" s="26"/>
      <c r="X428" s="26"/>
    </row>
    <row r="429" ht="15.0" customHeight="1">
      <c r="A429" s="11">
        <v>352.0</v>
      </c>
      <c r="B429" s="18" t="s">
        <v>919</v>
      </c>
      <c r="C429" s="36" t="s">
        <v>920</v>
      </c>
      <c r="D429" s="20" t="s">
        <v>73</v>
      </c>
      <c r="E429" s="21">
        <v>4.0</v>
      </c>
      <c r="F429" s="22" t="s">
        <v>38</v>
      </c>
      <c r="G429" s="23" t="s">
        <v>25</v>
      </c>
      <c r="H429" s="24" t="s">
        <v>11</v>
      </c>
      <c r="I429" s="25">
        <f>IFERROR(VLOOKUP(VALUE(B429), 'คำนวณ '!A:U, 21, FALSE), "")</f>
        <v>1</v>
      </c>
      <c r="J429" s="26">
        <f>IFERROR(VLOOKUP(VALUE(B429), 'คำนวณ '!A:V, 22, FALSE), "")</f>
        <v>1</v>
      </c>
      <c r="K429" s="47" t="s">
        <v>10</v>
      </c>
      <c r="U429" s="26"/>
      <c r="X429" s="26"/>
    </row>
    <row r="430" ht="15.0" customHeight="1">
      <c r="A430" s="11">
        <v>352.0</v>
      </c>
      <c r="B430" s="18" t="s">
        <v>921</v>
      </c>
      <c r="C430" s="36" t="s">
        <v>922</v>
      </c>
      <c r="D430" s="39"/>
      <c r="E430" s="40"/>
      <c r="F430" s="41"/>
      <c r="G430" s="23" t="s">
        <v>25</v>
      </c>
      <c r="H430" s="42"/>
      <c r="I430" s="25" t="str">
        <f>IFERROR(VLOOKUP(VALUE(B430), 'คำนวณ '!A:U, 21, FALSE), "")</f>
        <v/>
      </c>
      <c r="J430" s="26" t="str">
        <f>IFERROR(VLOOKUP(VALUE(B430), 'คำนวณ '!A:V, 22, FALSE), "")</f>
        <v/>
      </c>
      <c r="K430" s="27" t="s">
        <v>19</v>
      </c>
      <c r="U430" s="26"/>
      <c r="X430" s="26"/>
    </row>
    <row r="431" ht="15.0" customHeight="1">
      <c r="A431" s="11">
        <v>352.0</v>
      </c>
      <c r="B431" s="18" t="s">
        <v>923</v>
      </c>
      <c r="C431" s="36" t="s">
        <v>924</v>
      </c>
      <c r="D431" s="39"/>
      <c r="E431" s="40"/>
      <c r="F431" s="41"/>
      <c r="G431" s="23" t="s">
        <v>25</v>
      </c>
      <c r="H431" s="42"/>
      <c r="I431" s="25" t="str">
        <f>IFERROR(VLOOKUP(VALUE(B431), 'คำนวณ '!A:U, 21, FALSE), "")</f>
        <v/>
      </c>
      <c r="J431" s="26" t="str">
        <f>IFERROR(VLOOKUP(VALUE(B431), 'คำนวณ '!A:V, 22, FALSE), "")</f>
        <v/>
      </c>
      <c r="K431" s="27" t="s">
        <v>19</v>
      </c>
      <c r="U431" s="26"/>
      <c r="X431" s="26"/>
    </row>
    <row r="432" ht="15.0" customHeight="1">
      <c r="A432" s="11">
        <v>352.0</v>
      </c>
      <c r="B432" s="18" t="s">
        <v>925</v>
      </c>
      <c r="C432" s="36" t="s">
        <v>926</v>
      </c>
      <c r="D432" s="20" t="s">
        <v>73</v>
      </c>
      <c r="E432" s="21">
        <v>8.0</v>
      </c>
      <c r="F432" s="22" t="s">
        <v>927</v>
      </c>
      <c r="G432" s="23" t="s">
        <v>25</v>
      </c>
      <c r="H432" s="24" t="s">
        <v>11</v>
      </c>
      <c r="I432" s="25">
        <f>IFERROR(VLOOKUP(VALUE(B432), 'คำนวณ '!A:U, 21, FALSE), "")</f>
        <v>1</v>
      </c>
      <c r="J432" s="26" t="str">
        <f>IFERROR(VLOOKUP(VALUE(B432), 'คำนวณ '!A:V, 22, FALSE), "")</f>
        <v/>
      </c>
      <c r="K432" s="27" t="s">
        <v>19</v>
      </c>
      <c r="U432" s="26"/>
      <c r="X432" s="26"/>
    </row>
    <row r="433" ht="15.0" customHeight="1">
      <c r="A433" s="11">
        <v>360.0</v>
      </c>
      <c r="B433" s="18" t="s">
        <v>928</v>
      </c>
      <c r="C433" s="36" t="s">
        <v>929</v>
      </c>
      <c r="D433" s="20" t="s">
        <v>73</v>
      </c>
      <c r="E433" s="21">
        <v>8.0</v>
      </c>
      <c r="F433" s="22" t="s">
        <v>930</v>
      </c>
      <c r="G433" s="23" t="s">
        <v>20</v>
      </c>
      <c r="H433" s="24" t="s">
        <v>11</v>
      </c>
      <c r="I433" s="25">
        <f>IFERROR(VLOOKUP(VALUE(B433), 'คำนวณ '!A:U, 21, FALSE), "")</f>
        <v>1</v>
      </c>
      <c r="J433" s="26">
        <f>IFERROR(VLOOKUP(VALUE(B433), 'คำนวณ '!A:V, 22, FALSE), "")</f>
        <v>1</v>
      </c>
      <c r="K433" s="47" t="s">
        <v>10</v>
      </c>
      <c r="U433" s="26"/>
      <c r="X433" s="26"/>
    </row>
    <row r="434" ht="15.0" customHeight="1">
      <c r="A434" s="11">
        <v>360.0</v>
      </c>
      <c r="B434" s="18" t="s">
        <v>931</v>
      </c>
      <c r="C434" s="36" t="s">
        <v>932</v>
      </c>
      <c r="D434" s="39"/>
      <c r="E434" s="40"/>
      <c r="F434" s="41"/>
      <c r="G434" s="23" t="s">
        <v>20</v>
      </c>
      <c r="H434" s="42"/>
      <c r="I434" s="25" t="str">
        <f>IFERROR(VLOOKUP(VALUE(B434), 'คำนวณ '!A:U, 21, FALSE), "")</f>
        <v/>
      </c>
      <c r="J434" s="26" t="str">
        <f>IFERROR(VLOOKUP(VALUE(B434), 'คำนวณ '!A:V, 22, FALSE), "")</f>
        <v/>
      </c>
      <c r="K434" s="27" t="s">
        <v>19</v>
      </c>
      <c r="U434" s="26"/>
      <c r="X434" s="26"/>
    </row>
    <row r="435" ht="15.0" customHeight="1">
      <c r="A435" s="11">
        <v>360.0</v>
      </c>
      <c r="B435" s="18" t="s">
        <v>933</v>
      </c>
      <c r="C435" s="36" t="s">
        <v>934</v>
      </c>
      <c r="D435" s="20" t="s">
        <v>69</v>
      </c>
      <c r="E435" s="21">
        <v>8.0</v>
      </c>
      <c r="F435" s="22" t="s">
        <v>935</v>
      </c>
      <c r="G435" s="23" t="s">
        <v>20</v>
      </c>
      <c r="H435" s="24" t="s">
        <v>11</v>
      </c>
      <c r="I435" s="25">
        <f>IFERROR(VLOOKUP(VALUE(B435), 'คำนวณ '!A:U, 21, FALSE), "")</f>
        <v>1</v>
      </c>
      <c r="J435" s="26">
        <f>IFERROR(VLOOKUP(VALUE(B435), 'คำนวณ '!A:V, 22, FALSE), "")</f>
        <v>1</v>
      </c>
      <c r="K435" s="47" t="s">
        <v>10</v>
      </c>
      <c r="U435" s="26"/>
      <c r="X435" s="26"/>
    </row>
    <row r="436" ht="15.0" customHeight="1">
      <c r="A436" s="11">
        <v>360.0</v>
      </c>
      <c r="B436" s="18" t="s">
        <v>936</v>
      </c>
      <c r="C436" s="36" t="s">
        <v>937</v>
      </c>
      <c r="D436" s="20" t="s">
        <v>69</v>
      </c>
      <c r="E436" s="21">
        <v>4.0</v>
      </c>
      <c r="F436" s="22" t="s">
        <v>938</v>
      </c>
      <c r="G436" s="23" t="s">
        <v>20</v>
      </c>
      <c r="H436" s="24" t="s">
        <v>11</v>
      </c>
      <c r="I436" s="25">
        <f>IFERROR(VLOOKUP(VALUE(B436), 'คำนวณ '!A:U, 21, FALSE), "")</f>
        <v>1</v>
      </c>
      <c r="J436" s="26">
        <f>IFERROR(VLOOKUP(VALUE(B436), 'คำนวณ '!A:V, 22, FALSE), "")</f>
        <v>1</v>
      </c>
      <c r="K436" s="47" t="s">
        <v>10</v>
      </c>
      <c r="U436" s="26"/>
      <c r="X436" s="26"/>
    </row>
    <row r="437" ht="15.0" customHeight="1">
      <c r="A437" s="11">
        <v>360.0</v>
      </c>
      <c r="B437" s="18" t="s">
        <v>939</v>
      </c>
      <c r="C437" s="36" t="s">
        <v>940</v>
      </c>
      <c r="D437" s="20" t="s">
        <v>69</v>
      </c>
      <c r="E437" s="21">
        <v>4.0</v>
      </c>
      <c r="F437" s="22" t="s">
        <v>938</v>
      </c>
      <c r="G437" s="23" t="s">
        <v>20</v>
      </c>
      <c r="H437" s="24" t="s">
        <v>11</v>
      </c>
      <c r="I437" s="25">
        <f>IFERROR(VLOOKUP(VALUE(B437), 'คำนวณ '!A:U, 21, FALSE), "")</f>
        <v>1</v>
      </c>
      <c r="J437" s="26">
        <f>IFERROR(VLOOKUP(VALUE(B437), 'คำนวณ '!A:V, 22, FALSE), "")</f>
        <v>1</v>
      </c>
      <c r="K437" s="47" t="s">
        <v>10</v>
      </c>
      <c r="U437" s="26"/>
      <c r="X437" s="26"/>
    </row>
    <row r="438" ht="15.0" customHeight="1">
      <c r="A438" s="11">
        <v>360.0</v>
      </c>
      <c r="B438" s="18" t="s">
        <v>941</v>
      </c>
      <c r="C438" s="36" t="s">
        <v>942</v>
      </c>
      <c r="D438" s="39"/>
      <c r="E438" s="40"/>
      <c r="F438" s="41"/>
      <c r="G438" s="23" t="s">
        <v>20</v>
      </c>
      <c r="H438" s="42"/>
      <c r="I438" s="25" t="str">
        <f>IFERROR(VLOOKUP(VALUE(B438), 'คำนวณ '!A:U, 21, FALSE), "")</f>
        <v/>
      </c>
      <c r="J438" s="26" t="str">
        <f>IFERROR(VLOOKUP(VALUE(B438), 'คำนวณ '!A:V, 22, FALSE), "")</f>
        <v/>
      </c>
      <c r="K438" s="27" t="s">
        <v>19</v>
      </c>
      <c r="U438" s="26"/>
      <c r="X438" s="26"/>
    </row>
    <row r="439" ht="15.0" customHeight="1">
      <c r="A439" s="11">
        <v>360.0</v>
      </c>
      <c r="B439" s="18" t="s">
        <v>943</v>
      </c>
      <c r="C439" s="36" t="s">
        <v>944</v>
      </c>
      <c r="D439" s="39"/>
      <c r="E439" s="40"/>
      <c r="F439" s="41"/>
      <c r="G439" s="23" t="s">
        <v>20</v>
      </c>
      <c r="H439" s="42"/>
      <c r="I439" s="25" t="str">
        <f>IFERROR(VLOOKUP(VALUE(B439), 'คำนวณ '!A:U, 21, FALSE), "")</f>
        <v/>
      </c>
      <c r="J439" s="26" t="str">
        <f>IFERROR(VLOOKUP(VALUE(B439), 'คำนวณ '!A:V, 22, FALSE), "")</f>
        <v/>
      </c>
      <c r="K439" s="27" t="s">
        <v>19</v>
      </c>
      <c r="U439" s="26"/>
      <c r="X439" s="26"/>
    </row>
    <row r="440" ht="15.0" customHeight="1">
      <c r="A440" s="11">
        <v>360.0</v>
      </c>
      <c r="B440" s="18" t="s">
        <v>945</v>
      </c>
      <c r="C440" s="36" t="s">
        <v>946</v>
      </c>
      <c r="D440" s="20" t="s">
        <v>69</v>
      </c>
      <c r="E440" s="21">
        <v>4.0</v>
      </c>
      <c r="F440" s="22" t="s">
        <v>947</v>
      </c>
      <c r="G440" s="23" t="s">
        <v>20</v>
      </c>
      <c r="H440" s="24" t="s">
        <v>11</v>
      </c>
      <c r="I440" s="25">
        <f>IFERROR(VLOOKUP(VALUE(B440), 'คำนวณ '!A:U, 21, FALSE), "")</f>
        <v>1</v>
      </c>
      <c r="J440" s="26">
        <f>IFERROR(VLOOKUP(VALUE(B440), 'คำนวณ '!A:V, 22, FALSE), "")</f>
        <v>1</v>
      </c>
      <c r="K440" s="27" t="s">
        <v>19</v>
      </c>
      <c r="U440" s="26"/>
      <c r="X440" s="26"/>
    </row>
    <row r="441" ht="15.75" customHeight="1">
      <c r="A441" s="11">
        <v>360.0</v>
      </c>
      <c r="B441" s="18" t="s">
        <v>948</v>
      </c>
      <c r="C441" s="36" t="s">
        <v>949</v>
      </c>
      <c r="D441" s="20" t="s">
        <v>69</v>
      </c>
      <c r="E441" s="21">
        <v>1.0</v>
      </c>
      <c r="F441" s="22" t="s">
        <v>774</v>
      </c>
      <c r="G441" s="23" t="s">
        <v>25</v>
      </c>
      <c r="H441" s="24" t="s">
        <v>11</v>
      </c>
      <c r="I441" s="25">
        <f>IFERROR(VLOOKUP(VALUE(B441), 'คำนวณ '!A:U, 21, FALSE), "")</f>
        <v>1</v>
      </c>
      <c r="J441" s="26">
        <f>IFERROR(VLOOKUP(VALUE(B441), 'คำนวณ '!A:V, 22, FALSE), "")</f>
        <v>1</v>
      </c>
      <c r="K441" s="27" t="s">
        <v>19</v>
      </c>
      <c r="U441" s="26"/>
      <c r="X441" s="26"/>
    </row>
    <row r="442" ht="15.0" customHeight="1">
      <c r="A442" s="11">
        <v>360.0</v>
      </c>
      <c r="B442" s="18" t="s">
        <v>950</v>
      </c>
      <c r="C442" s="36" t="s">
        <v>951</v>
      </c>
      <c r="D442" s="20" t="s">
        <v>69</v>
      </c>
      <c r="E442" s="21">
        <v>4.0</v>
      </c>
      <c r="F442" s="22" t="s">
        <v>38</v>
      </c>
      <c r="G442" s="23" t="s">
        <v>20</v>
      </c>
      <c r="H442" s="24" t="s">
        <v>11</v>
      </c>
      <c r="I442" s="25">
        <f>IFERROR(VLOOKUP(VALUE(B442), 'คำนวณ '!A:U, 21, FALSE), "")</f>
        <v>1</v>
      </c>
      <c r="J442" s="26">
        <f>IFERROR(VLOOKUP(VALUE(B442), 'คำนวณ '!A:V, 22, FALSE), "")</f>
        <v>1</v>
      </c>
      <c r="K442" s="47" t="s">
        <v>10</v>
      </c>
      <c r="U442" s="26"/>
      <c r="X442" s="26"/>
    </row>
    <row r="443" ht="15.0" customHeight="1">
      <c r="A443" s="11">
        <v>360.0</v>
      </c>
      <c r="B443" s="18" t="s">
        <v>952</v>
      </c>
      <c r="C443" s="36" t="s">
        <v>953</v>
      </c>
      <c r="D443" s="39"/>
      <c r="E443" s="40"/>
      <c r="F443" s="41"/>
      <c r="G443" s="23" t="s">
        <v>20</v>
      </c>
      <c r="H443" s="42"/>
      <c r="I443" s="25" t="str">
        <f>IFERROR(VLOOKUP(VALUE(B443), 'คำนวณ '!A:U, 21, FALSE), "")</f>
        <v/>
      </c>
      <c r="J443" s="26" t="str">
        <f>IFERROR(VLOOKUP(VALUE(B443), 'คำนวณ '!A:V, 22, FALSE), "")</f>
        <v/>
      </c>
      <c r="K443" s="27" t="s">
        <v>19</v>
      </c>
      <c r="U443" s="26"/>
      <c r="X443" s="26"/>
    </row>
    <row r="444" ht="15.0" customHeight="1">
      <c r="A444" s="11">
        <v>360.0</v>
      </c>
      <c r="B444" s="18" t="s">
        <v>954</v>
      </c>
      <c r="C444" s="36" t="s">
        <v>955</v>
      </c>
      <c r="D444" s="20" t="s">
        <v>69</v>
      </c>
      <c r="E444" s="21">
        <v>4.0</v>
      </c>
      <c r="F444" s="22" t="s">
        <v>38</v>
      </c>
      <c r="G444" s="23" t="s">
        <v>20</v>
      </c>
      <c r="H444" s="24" t="s">
        <v>11</v>
      </c>
      <c r="I444" s="25">
        <f>IFERROR(VLOOKUP(VALUE(B444), 'คำนวณ '!A:U, 21, FALSE), "")</f>
        <v>1</v>
      </c>
      <c r="J444" s="26">
        <f>IFERROR(VLOOKUP(VALUE(B444), 'คำนวณ '!A:V, 22, FALSE), "")</f>
        <v>1</v>
      </c>
      <c r="K444" s="47" t="s">
        <v>10</v>
      </c>
      <c r="U444" s="26"/>
      <c r="X444" s="26"/>
    </row>
    <row r="445" ht="15.0" customHeight="1">
      <c r="A445" s="11">
        <v>360.0</v>
      </c>
      <c r="B445" s="18" t="s">
        <v>956</v>
      </c>
      <c r="C445" s="36" t="s">
        <v>957</v>
      </c>
      <c r="D445" s="20" t="s">
        <v>69</v>
      </c>
      <c r="E445" s="21">
        <v>8.0</v>
      </c>
      <c r="F445" s="22" t="s">
        <v>958</v>
      </c>
      <c r="G445" s="23" t="s">
        <v>20</v>
      </c>
      <c r="H445" s="24" t="s">
        <v>11</v>
      </c>
      <c r="I445" s="25">
        <f>IFERROR(VLOOKUP(VALUE(B445), 'คำนวณ '!A:U, 21, FALSE), "")</f>
        <v>1</v>
      </c>
      <c r="J445" s="26">
        <f>IFERROR(VLOOKUP(VALUE(B445), 'คำนวณ '!A:V, 22, FALSE), "")</f>
        <v>1</v>
      </c>
      <c r="K445" s="47" t="s">
        <v>10</v>
      </c>
      <c r="U445" s="26"/>
      <c r="X445" s="26"/>
    </row>
    <row r="446" ht="15.0" customHeight="1">
      <c r="A446" s="11">
        <v>360.0</v>
      </c>
      <c r="B446" s="18" t="s">
        <v>959</v>
      </c>
      <c r="C446" s="36" t="s">
        <v>960</v>
      </c>
      <c r="D446" s="20" t="s">
        <v>69</v>
      </c>
      <c r="E446" s="21">
        <v>4.0</v>
      </c>
      <c r="F446" s="22" t="s">
        <v>38</v>
      </c>
      <c r="G446" s="23" t="s">
        <v>20</v>
      </c>
      <c r="H446" s="24" t="s">
        <v>11</v>
      </c>
      <c r="I446" s="25">
        <f>IFERROR(VLOOKUP(VALUE(B446), 'คำนวณ '!A:U, 21, FALSE), "")</f>
        <v>1</v>
      </c>
      <c r="J446" s="26">
        <f>IFERROR(VLOOKUP(VALUE(B446), 'คำนวณ '!A:V, 22, FALSE), "")</f>
        <v>1</v>
      </c>
      <c r="K446" s="27" t="s">
        <v>19</v>
      </c>
      <c r="U446" s="26"/>
      <c r="X446" s="26"/>
    </row>
    <row r="447" ht="15.0" customHeight="1">
      <c r="A447" s="11">
        <v>360.0</v>
      </c>
      <c r="B447" s="18" t="s">
        <v>961</v>
      </c>
      <c r="C447" s="36" t="s">
        <v>962</v>
      </c>
      <c r="D447" s="39"/>
      <c r="E447" s="40"/>
      <c r="F447" s="41"/>
      <c r="G447" s="23" t="s">
        <v>20</v>
      </c>
      <c r="H447" s="42"/>
      <c r="I447" s="25" t="str">
        <f>IFERROR(VLOOKUP(VALUE(B447), 'คำนวณ '!A:U, 21, FALSE), "")</f>
        <v/>
      </c>
      <c r="J447" s="26" t="str">
        <f>IFERROR(VLOOKUP(VALUE(B447), 'คำนวณ '!A:V, 22, FALSE), "")</f>
        <v/>
      </c>
      <c r="K447" s="27" t="s">
        <v>19</v>
      </c>
      <c r="U447" s="26"/>
      <c r="X447" s="26"/>
    </row>
    <row r="448" ht="15.0" customHeight="1">
      <c r="A448" s="11">
        <v>360.0</v>
      </c>
      <c r="B448" s="18" t="s">
        <v>963</v>
      </c>
      <c r="C448" s="36" t="s">
        <v>964</v>
      </c>
      <c r="D448" s="20" t="s">
        <v>69</v>
      </c>
      <c r="E448" s="21">
        <v>4.0</v>
      </c>
      <c r="F448" s="22" t="s">
        <v>38</v>
      </c>
      <c r="G448" s="23" t="s">
        <v>20</v>
      </c>
      <c r="H448" s="24" t="s">
        <v>11</v>
      </c>
      <c r="I448" s="25">
        <f>IFERROR(VLOOKUP(VALUE(B448), 'คำนวณ '!A:U, 21, FALSE), "")</f>
        <v>1</v>
      </c>
      <c r="J448" s="26" t="str">
        <f>IFERROR(VLOOKUP(VALUE(B448), 'คำนวณ '!A:V, 22, FALSE), "")</f>
        <v/>
      </c>
      <c r="K448" s="47" t="s">
        <v>10</v>
      </c>
      <c r="U448" s="26"/>
      <c r="X448" s="26"/>
    </row>
    <row r="449" ht="15.0" customHeight="1">
      <c r="A449" s="11">
        <v>360.0</v>
      </c>
      <c r="B449" s="18" t="s">
        <v>965</v>
      </c>
      <c r="C449" s="36" t="s">
        <v>966</v>
      </c>
      <c r="D449" s="20" t="s">
        <v>69</v>
      </c>
      <c r="E449" s="21">
        <v>4.0</v>
      </c>
      <c r="F449" s="22" t="s">
        <v>38</v>
      </c>
      <c r="G449" s="23" t="s">
        <v>20</v>
      </c>
      <c r="H449" s="24" t="s">
        <v>11</v>
      </c>
      <c r="I449" s="25">
        <f>IFERROR(VLOOKUP(VALUE(B449), 'คำนวณ '!A:U, 21, FALSE), "")</f>
        <v>1</v>
      </c>
      <c r="J449" s="26">
        <f>IFERROR(VLOOKUP(VALUE(B449), 'คำนวณ '!A:V, 22, FALSE), "")</f>
        <v>1</v>
      </c>
      <c r="K449" s="27" t="s">
        <v>19</v>
      </c>
      <c r="U449" s="26"/>
      <c r="X449" s="26"/>
    </row>
    <row r="450" ht="15.0" customHeight="1">
      <c r="A450" s="11">
        <v>360.0</v>
      </c>
      <c r="B450" s="18" t="s">
        <v>967</v>
      </c>
      <c r="C450" s="36" t="s">
        <v>968</v>
      </c>
      <c r="D450" s="64" t="s">
        <v>90</v>
      </c>
      <c r="E450" s="21">
        <v>4.0</v>
      </c>
      <c r="F450" s="22" t="s">
        <v>38</v>
      </c>
      <c r="G450" s="23" t="s">
        <v>20</v>
      </c>
      <c r="H450" s="24" t="s">
        <v>11</v>
      </c>
      <c r="I450" s="25">
        <f>IFERROR(VLOOKUP(VALUE(B450), 'คำนวณ '!A:U, 21, FALSE), "")</f>
        <v>1</v>
      </c>
      <c r="J450" s="26">
        <f>IFERROR(VLOOKUP(VALUE(B450), 'คำนวณ '!A:V, 22, FALSE), "")</f>
        <v>1</v>
      </c>
      <c r="K450" s="47" t="s">
        <v>10</v>
      </c>
      <c r="U450" s="26"/>
      <c r="X450" s="26"/>
    </row>
    <row r="451" ht="15.0" customHeight="1">
      <c r="A451" s="11">
        <v>370.0</v>
      </c>
      <c r="B451" s="18" t="s">
        <v>969</v>
      </c>
      <c r="C451" s="36" t="s">
        <v>970</v>
      </c>
      <c r="D451" s="20" t="s">
        <v>63</v>
      </c>
      <c r="E451" s="21">
        <v>4.0</v>
      </c>
      <c r="F451" s="22" t="s">
        <v>38</v>
      </c>
      <c r="G451" s="23" t="s">
        <v>25</v>
      </c>
      <c r="H451" s="24" t="s">
        <v>11</v>
      </c>
      <c r="I451" s="25">
        <f>IFERROR(VLOOKUP(VALUE(B451), 'คำนวณ '!A:U, 21, FALSE), "")</f>
        <v>1</v>
      </c>
      <c r="J451" s="26" t="str">
        <f>IFERROR(VLOOKUP(VALUE(B451), 'คำนวณ '!A:V, 22, FALSE), "")</f>
        <v/>
      </c>
      <c r="K451" s="27" t="s">
        <v>19</v>
      </c>
      <c r="U451" s="26"/>
      <c r="X451" s="26"/>
    </row>
    <row r="452" ht="15.0" customHeight="1">
      <c r="A452" s="11">
        <v>370.0</v>
      </c>
      <c r="B452" s="18" t="s">
        <v>971</v>
      </c>
      <c r="C452" s="36" t="s">
        <v>972</v>
      </c>
      <c r="D452" s="20" t="s">
        <v>63</v>
      </c>
      <c r="E452" s="21">
        <v>4.0</v>
      </c>
      <c r="F452" s="22" t="s">
        <v>38</v>
      </c>
      <c r="G452" s="23" t="s">
        <v>25</v>
      </c>
      <c r="H452" s="24" t="s">
        <v>11</v>
      </c>
      <c r="I452" s="25">
        <f>IFERROR(VLOOKUP(VALUE(B452), 'คำนวณ '!A:U, 21, FALSE), "")</f>
        <v>1</v>
      </c>
      <c r="J452" s="26">
        <f>IFERROR(VLOOKUP(VALUE(B452), 'คำนวณ '!A:V, 22, FALSE), "")</f>
        <v>1</v>
      </c>
      <c r="K452" s="27" t="s">
        <v>19</v>
      </c>
      <c r="U452" s="26"/>
      <c r="X452" s="26"/>
    </row>
    <row r="453" ht="15.0" customHeight="1">
      <c r="A453" s="11">
        <v>370.0</v>
      </c>
      <c r="B453" s="18" t="s">
        <v>973</v>
      </c>
      <c r="C453" s="36" t="s">
        <v>974</v>
      </c>
      <c r="D453" s="20" t="s">
        <v>63</v>
      </c>
      <c r="E453" s="21">
        <v>4.0</v>
      </c>
      <c r="F453" s="22" t="s">
        <v>38</v>
      </c>
      <c r="G453" s="23" t="s">
        <v>25</v>
      </c>
      <c r="H453" s="24" t="s">
        <v>11</v>
      </c>
      <c r="I453" s="25">
        <f>IFERROR(VLOOKUP(VALUE(B453), 'คำนวณ '!A:U, 21, FALSE), "")</f>
        <v>1</v>
      </c>
      <c r="J453" s="26" t="str">
        <f>IFERROR(VLOOKUP(VALUE(B453), 'คำนวณ '!A:V, 22, FALSE), "")</f>
        <v/>
      </c>
      <c r="K453" s="27" t="s">
        <v>19</v>
      </c>
      <c r="U453" s="26"/>
      <c r="X453" s="26"/>
    </row>
    <row r="454" ht="15.0" customHeight="1">
      <c r="A454" s="11">
        <v>411.0</v>
      </c>
      <c r="B454" s="18" t="s">
        <v>975</v>
      </c>
      <c r="C454" s="36" t="s">
        <v>976</v>
      </c>
      <c r="D454" s="20" t="s">
        <v>84</v>
      </c>
      <c r="E454" s="21">
        <v>4.0</v>
      </c>
      <c r="F454" s="22" t="s">
        <v>38</v>
      </c>
      <c r="G454" s="23" t="s">
        <v>20</v>
      </c>
      <c r="H454" s="24" t="s">
        <v>11</v>
      </c>
      <c r="I454" s="25">
        <f>IFERROR(VLOOKUP(VALUE(B454), 'คำนวณ '!A:U, 21, FALSE), "")</f>
        <v>1</v>
      </c>
      <c r="J454" s="26">
        <f>IFERROR(VLOOKUP(VALUE(B454), 'คำนวณ '!A:V, 22, FALSE), "")</f>
        <v>1</v>
      </c>
      <c r="K454" s="27" t="s">
        <v>19</v>
      </c>
      <c r="U454" s="26"/>
      <c r="X454" s="26"/>
    </row>
    <row r="455" ht="15.0" customHeight="1">
      <c r="A455" s="11">
        <v>411.0</v>
      </c>
      <c r="B455" s="18" t="s">
        <v>977</v>
      </c>
      <c r="C455" s="36" t="s">
        <v>978</v>
      </c>
      <c r="D455" s="20" t="s">
        <v>84</v>
      </c>
      <c r="E455" s="21">
        <v>4.0</v>
      </c>
      <c r="F455" s="22" t="s">
        <v>38</v>
      </c>
      <c r="G455" s="23" t="s">
        <v>20</v>
      </c>
      <c r="H455" s="24" t="s">
        <v>11</v>
      </c>
      <c r="I455" s="25">
        <f>IFERROR(VLOOKUP(VALUE(B455), 'คำนวณ '!A:U, 21, FALSE), "")</f>
        <v>1</v>
      </c>
      <c r="J455" s="26">
        <f>IFERROR(VLOOKUP(VALUE(B455), 'คำนวณ '!A:V, 22, FALSE), "")</f>
        <v>1</v>
      </c>
      <c r="K455" s="27" t="s">
        <v>19</v>
      </c>
      <c r="U455" s="26"/>
      <c r="X455" s="26"/>
    </row>
    <row r="456" ht="15.0" customHeight="1">
      <c r="A456" s="11">
        <v>411.0</v>
      </c>
      <c r="B456" s="18" t="s">
        <v>979</v>
      </c>
      <c r="C456" s="36" t="s">
        <v>980</v>
      </c>
      <c r="D456" s="20" t="s">
        <v>87</v>
      </c>
      <c r="E456" s="21">
        <v>4.0</v>
      </c>
      <c r="F456" s="22" t="s">
        <v>38</v>
      </c>
      <c r="G456" s="23" t="s">
        <v>20</v>
      </c>
      <c r="H456" s="24" t="s">
        <v>11</v>
      </c>
      <c r="I456" s="25">
        <f>IFERROR(VLOOKUP(VALUE(B456), 'คำนวณ '!A:U, 21, FALSE), "")</f>
        <v>1</v>
      </c>
      <c r="J456" s="26">
        <f>IFERROR(VLOOKUP(VALUE(B456), 'คำนวณ '!A:V, 22, FALSE), "")</f>
        <v>1</v>
      </c>
      <c r="K456" s="27" t="s">
        <v>19</v>
      </c>
      <c r="U456" s="26"/>
      <c r="X456" s="26"/>
    </row>
    <row r="457" ht="15.0" customHeight="1">
      <c r="A457" s="11">
        <v>411.0</v>
      </c>
      <c r="B457" s="18" t="s">
        <v>981</v>
      </c>
      <c r="C457" s="36" t="s">
        <v>982</v>
      </c>
      <c r="D457" s="39"/>
      <c r="E457" s="40"/>
      <c r="F457" s="41"/>
      <c r="G457" s="23" t="s">
        <v>20</v>
      </c>
      <c r="H457" s="42"/>
      <c r="I457" s="25" t="str">
        <f>IFERROR(VLOOKUP(VALUE(B457), 'คำนวณ '!A:U, 21, FALSE), "")</f>
        <v/>
      </c>
      <c r="J457" s="26" t="str">
        <f>IFERROR(VLOOKUP(VALUE(B457), 'คำนวณ '!A:V, 22, FALSE), "")</f>
        <v/>
      </c>
      <c r="K457" s="27" t="s">
        <v>19</v>
      </c>
      <c r="U457" s="26"/>
      <c r="X457" s="26"/>
    </row>
    <row r="458" ht="15.0" customHeight="1">
      <c r="A458" s="11">
        <v>411.0</v>
      </c>
      <c r="B458" s="18" t="s">
        <v>983</v>
      </c>
      <c r="C458" s="36" t="s">
        <v>984</v>
      </c>
      <c r="D458" s="39"/>
      <c r="E458" s="40"/>
      <c r="F458" s="41"/>
      <c r="G458" s="23" t="s">
        <v>20</v>
      </c>
      <c r="H458" s="42"/>
      <c r="I458" s="25" t="str">
        <f>IFERROR(VLOOKUP(VALUE(B458), 'คำนวณ '!A:U, 21, FALSE), "")</f>
        <v/>
      </c>
      <c r="J458" s="26" t="str">
        <f>IFERROR(VLOOKUP(VALUE(B458), 'คำนวณ '!A:V, 22, FALSE), "")</f>
        <v/>
      </c>
      <c r="K458" s="27" t="s">
        <v>19</v>
      </c>
      <c r="U458" s="26"/>
      <c r="X458" s="26"/>
    </row>
    <row r="459" ht="15.0" customHeight="1">
      <c r="A459" s="11">
        <v>411.0</v>
      </c>
      <c r="B459" s="18" t="s">
        <v>985</v>
      </c>
      <c r="C459" s="36" t="s">
        <v>986</v>
      </c>
      <c r="D459" s="39"/>
      <c r="E459" s="40"/>
      <c r="F459" s="41"/>
      <c r="G459" s="23" t="s">
        <v>20</v>
      </c>
      <c r="H459" s="42"/>
      <c r="I459" s="25" t="str">
        <f>IFERROR(VLOOKUP(VALUE(B459), 'คำนวณ '!A:U, 21, FALSE), "")</f>
        <v/>
      </c>
      <c r="J459" s="26" t="str">
        <f>IFERROR(VLOOKUP(VALUE(B459), 'คำนวณ '!A:V, 22, FALSE), "")</f>
        <v/>
      </c>
      <c r="K459" s="27" t="s">
        <v>19</v>
      </c>
      <c r="U459" s="26"/>
      <c r="X459" s="26"/>
    </row>
    <row r="460" ht="15.0" customHeight="1">
      <c r="A460" s="11">
        <v>411.0</v>
      </c>
      <c r="B460" s="18" t="s">
        <v>987</v>
      </c>
      <c r="C460" s="36" t="s">
        <v>988</v>
      </c>
      <c r="D460" s="39"/>
      <c r="E460" s="40"/>
      <c r="F460" s="41"/>
      <c r="G460" s="23" t="s">
        <v>20</v>
      </c>
      <c r="H460" s="42"/>
      <c r="I460" s="25" t="str">
        <f>IFERROR(VLOOKUP(VALUE(B460), 'คำนวณ '!A:U, 21, FALSE), "")</f>
        <v/>
      </c>
      <c r="J460" s="26" t="str">
        <f>IFERROR(VLOOKUP(VALUE(B460), 'คำนวณ '!A:V, 22, FALSE), "")</f>
        <v/>
      </c>
      <c r="K460" s="27" t="s">
        <v>19</v>
      </c>
      <c r="U460" s="26"/>
      <c r="X460" s="26"/>
    </row>
    <row r="461" ht="15.0" customHeight="1">
      <c r="A461" s="11">
        <v>411.0</v>
      </c>
      <c r="B461" s="18" t="s">
        <v>989</v>
      </c>
      <c r="C461" s="36" t="s">
        <v>990</v>
      </c>
      <c r="D461" s="20" t="s">
        <v>76</v>
      </c>
      <c r="E461" s="21">
        <v>4.0</v>
      </c>
      <c r="F461" s="22" t="s">
        <v>38</v>
      </c>
      <c r="G461" s="23" t="s">
        <v>20</v>
      </c>
      <c r="H461" s="24" t="s">
        <v>11</v>
      </c>
      <c r="I461" s="25">
        <f>IFERROR(VLOOKUP(VALUE(B461), 'คำนวณ '!A:U, 21, FALSE), "")</f>
        <v>1</v>
      </c>
      <c r="J461" s="26">
        <f>IFERROR(VLOOKUP(VALUE(B461), 'คำนวณ '!A:V, 22, FALSE), "")</f>
        <v>1</v>
      </c>
      <c r="K461" s="27" t="s">
        <v>19</v>
      </c>
      <c r="U461" s="26"/>
      <c r="X461" s="26"/>
    </row>
    <row r="462" ht="15.0" customHeight="1">
      <c r="A462" s="11">
        <v>411.0</v>
      </c>
      <c r="B462" s="18" t="s">
        <v>991</v>
      </c>
      <c r="C462" s="36" t="s">
        <v>992</v>
      </c>
      <c r="D462" s="39"/>
      <c r="E462" s="40"/>
      <c r="F462" s="41"/>
      <c r="G462" s="23" t="s">
        <v>20</v>
      </c>
      <c r="H462" s="42"/>
      <c r="I462" s="25" t="str">
        <f>IFERROR(VLOOKUP(VALUE(B462), 'คำนวณ '!A:U, 21, FALSE), "")</f>
        <v/>
      </c>
      <c r="J462" s="26" t="str">
        <f>IFERROR(VLOOKUP(VALUE(B462), 'คำนวณ '!A:V, 22, FALSE), "")</f>
        <v/>
      </c>
      <c r="K462" s="27" t="s">
        <v>19</v>
      </c>
      <c r="U462" s="26"/>
      <c r="X462" s="26"/>
    </row>
    <row r="463" ht="15.0" customHeight="1">
      <c r="A463" s="11">
        <v>411.0</v>
      </c>
      <c r="B463" s="18" t="s">
        <v>993</v>
      </c>
      <c r="C463" s="36" t="s">
        <v>994</v>
      </c>
      <c r="D463" s="39"/>
      <c r="E463" s="40"/>
      <c r="F463" s="41"/>
      <c r="G463" s="23" t="s">
        <v>20</v>
      </c>
      <c r="H463" s="42"/>
      <c r="I463" s="25" t="str">
        <f>IFERROR(VLOOKUP(VALUE(B463), 'คำนวณ '!A:U, 21, FALSE), "")</f>
        <v/>
      </c>
      <c r="J463" s="26" t="str">
        <f>IFERROR(VLOOKUP(VALUE(B463), 'คำนวณ '!A:V, 22, FALSE), "")</f>
        <v/>
      </c>
      <c r="K463" s="27" t="s">
        <v>19</v>
      </c>
      <c r="U463" s="26"/>
      <c r="X463" s="26"/>
    </row>
    <row r="464" ht="15.0" customHeight="1">
      <c r="A464" s="11">
        <v>411.0</v>
      </c>
      <c r="B464" s="18" t="s">
        <v>995</v>
      </c>
      <c r="C464" s="36" t="s">
        <v>996</v>
      </c>
      <c r="D464" s="20" t="s">
        <v>76</v>
      </c>
      <c r="E464" s="21">
        <v>4.0</v>
      </c>
      <c r="F464" s="22" t="s">
        <v>38</v>
      </c>
      <c r="G464" s="23" t="s">
        <v>20</v>
      </c>
      <c r="H464" s="24" t="s">
        <v>11</v>
      </c>
      <c r="I464" s="25">
        <f>IFERROR(VLOOKUP(VALUE(B464), 'คำนวณ '!A:U, 21, FALSE), "")</f>
        <v>1</v>
      </c>
      <c r="J464" s="26">
        <f>IFERROR(VLOOKUP(VALUE(B464), 'คำนวณ '!A:V, 22, FALSE), "")</f>
        <v>1</v>
      </c>
      <c r="K464" s="27" t="s">
        <v>19</v>
      </c>
      <c r="U464" s="26"/>
      <c r="X464" s="26"/>
    </row>
    <row r="465" ht="15.0" customHeight="1">
      <c r="A465" s="11">
        <v>411.0</v>
      </c>
      <c r="B465" s="18" t="s">
        <v>997</v>
      </c>
      <c r="C465" s="36" t="s">
        <v>998</v>
      </c>
      <c r="D465" s="20" t="s">
        <v>76</v>
      </c>
      <c r="E465" s="21">
        <v>4.0</v>
      </c>
      <c r="F465" s="22" t="s">
        <v>38</v>
      </c>
      <c r="G465" s="23" t="s">
        <v>20</v>
      </c>
      <c r="H465" s="24" t="s">
        <v>11</v>
      </c>
      <c r="I465" s="25">
        <f>IFERROR(VLOOKUP(VALUE(B465), 'คำนวณ '!A:U, 21, FALSE), "")</f>
        <v>1</v>
      </c>
      <c r="J465" s="26">
        <f>IFERROR(VLOOKUP(VALUE(B465), 'คำนวณ '!A:V, 22, FALSE), "")</f>
        <v>1</v>
      </c>
      <c r="K465" s="27" t="s">
        <v>19</v>
      </c>
      <c r="U465" s="26"/>
      <c r="X465" s="26"/>
    </row>
    <row r="466" ht="15.0" customHeight="1">
      <c r="A466" s="11">
        <v>411.0</v>
      </c>
      <c r="B466" s="18" t="s">
        <v>999</v>
      </c>
      <c r="C466" s="36" t="s">
        <v>1000</v>
      </c>
      <c r="D466" s="39"/>
      <c r="E466" s="40"/>
      <c r="F466" s="41"/>
      <c r="G466" s="23" t="s">
        <v>20</v>
      </c>
      <c r="H466" s="42"/>
      <c r="I466" s="25" t="str">
        <f>IFERROR(VLOOKUP(VALUE(B466), 'คำนวณ '!A:U, 21, FALSE), "")</f>
        <v/>
      </c>
      <c r="J466" s="26" t="str">
        <f>IFERROR(VLOOKUP(VALUE(B466), 'คำนวณ '!A:V, 22, FALSE), "")</f>
        <v/>
      </c>
      <c r="K466" s="27" t="s">
        <v>19</v>
      </c>
      <c r="U466" s="26"/>
      <c r="X466" s="26"/>
    </row>
    <row r="467" ht="15.0" customHeight="1">
      <c r="A467" s="11">
        <v>411.0</v>
      </c>
      <c r="B467" s="18" t="s">
        <v>1001</v>
      </c>
      <c r="C467" s="36" t="s">
        <v>1002</v>
      </c>
      <c r="D467" s="20" t="s">
        <v>76</v>
      </c>
      <c r="E467" s="21">
        <v>4.0</v>
      </c>
      <c r="F467" s="22" t="s">
        <v>38</v>
      </c>
      <c r="G467" s="23" t="s">
        <v>20</v>
      </c>
      <c r="H467" s="24" t="s">
        <v>11</v>
      </c>
      <c r="I467" s="25">
        <f>IFERROR(VLOOKUP(VALUE(B467), 'คำนวณ '!A:U, 21, FALSE), "")</f>
        <v>1</v>
      </c>
      <c r="J467" s="26">
        <f>IFERROR(VLOOKUP(VALUE(B467), 'คำนวณ '!A:V, 22, FALSE), "")</f>
        <v>1</v>
      </c>
      <c r="K467" s="27" t="s">
        <v>19</v>
      </c>
      <c r="U467" s="26"/>
      <c r="X467" s="26"/>
    </row>
    <row r="468" ht="15.0" customHeight="1">
      <c r="A468" s="11">
        <v>411.0</v>
      </c>
      <c r="B468" s="18" t="s">
        <v>1003</v>
      </c>
      <c r="C468" s="36" t="s">
        <v>1004</v>
      </c>
      <c r="D468" s="39"/>
      <c r="E468" s="40"/>
      <c r="F468" s="41"/>
      <c r="G468" s="23" t="s">
        <v>20</v>
      </c>
      <c r="H468" s="42"/>
      <c r="I468" s="25" t="str">
        <f>IFERROR(VLOOKUP(VALUE(B468), 'คำนวณ '!A:U, 21, FALSE), "")</f>
        <v/>
      </c>
      <c r="J468" s="26" t="str">
        <f>IFERROR(VLOOKUP(VALUE(B468), 'คำนวณ '!A:V, 22, FALSE), "")</f>
        <v/>
      </c>
      <c r="K468" s="27" t="s">
        <v>19</v>
      </c>
      <c r="U468" s="26"/>
      <c r="X468" s="26"/>
    </row>
    <row r="469" ht="15.0" customHeight="1">
      <c r="A469" s="11">
        <v>411.0</v>
      </c>
      <c r="B469" s="18" t="s">
        <v>1005</v>
      </c>
      <c r="C469" s="36" t="s">
        <v>1006</v>
      </c>
      <c r="D469" s="20" t="s">
        <v>76</v>
      </c>
      <c r="E469" s="21">
        <v>4.0</v>
      </c>
      <c r="F469" s="22" t="s">
        <v>38</v>
      </c>
      <c r="G469" s="23" t="s">
        <v>20</v>
      </c>
      <c r="H469" s="24" t="s">
        <v>11</v>
      </c>
      <c r="I469" s="25">
        <f>IFERROR(VLOOKUP(VALUE(B469), 'คำนวณ '!A:U, 21, FALSE), "")</f>
        <v>1</v>
      </c>
      <c r="J469" s="26">
        <f>IFERROR(VLOOKUP(VALUE(B469), 'คำนวณ '!A:V, 22, FALSE), "")</f>
        <v>1</v>
      </c>
      <c r="K469" s="27" t="s">
        <v>19</v>
      </c>
      <c r="U469" s="26"/>
      <c r="X469" s="26"/>
    </row>
    <row r="470" ht="15.0" customHeight="1">
      <c r="A470" s="11">
        <v>411.0</v>
      </c>
      <c r="B470" s="18" t="s">
        <v>1007</v>
      </c>
      <c r="C470" s="36" t="s">
        <v>1008</v>
      </c>
      <c r="D470" s="39"/>
      <c r="E470" s="40"/>
      <c r="F470" s="41"/>
      <c r="G470" s="23" t="s">
        <v>20</v>
      </c>
      <c r="H470" s="42"/>
      <c r="I470" s="25" t="str">
        <f>IFERROR(VLOOKUP(VALUE(B470), 'คำนวณ '!A:U, 21, FALSE), "")</f>
        <v/>
      </c>
      <c r="J470" s="26" t="str">
        <f>IFERROR(VLOOKUP(VALUE(B470), 'คำนวณ '!A:V, 22, FALSE), "")</f>
        <v/>
      </c>
      <c r="K470" s="27" t="s">
        <v>19</v>
      </c>
      <c r="U470" s="26"/>
      <c r="X470" s="26"/>
    </row>
    <row r="471" ht="15.0" customHeight="1">
      <c r="A471" s="11">
        <v>411.0</v>
      </c>
      <c r="B471" s="18" t="s">
        <v>1009</v>
      </c>
      <c r="C471" s="36" t="s">
        <v>1010</v>
      </c>
      <c r="D471" s="20" t="s">
        <v>76</v>
      </c>
      <c r="E471" s="21">
        <v>4.0</v>
      </c>
      <c r="F471" s="22" t="s">
        <v>38</v>
      </c>
      <c r="G471" s="23" t="s">
        <v>20</v>
      </c>
      <c r="H471" s="24" t="s">
        <v>11</v>
      </c>
      <c r="I471" s="25">
        <f>IFERROR(VLOOKUP(VALUE(B471), 'คำนวณ '!A:U, 21, FALSE), "")</f>
        <v>1</v>
      </c>
      <c r="J471" s="26">
        <f>IFERROR(VLOOKUP(VALUE(B471), 'คำนวณ '!A:V, 22, FALSE), "")</f>
        <v>1</v>
      </c>
      <c r="K471" s="27" t="s">
        <v>19</v>
      </c>
      <c r="U471" s="26"/>
      <c r="X471" s="26"/>
    </row>
    <row r="472" ht="15.0" customHeight="1">
      <c r="A472" s="11">
        <v>411.0</v>
      </c>
      <c r="B472" s="18" t="s">
        <v>1011</v>
      </c>
      <c r="C472" s="36" t="s">
        <v>1012</v>
      </c>
      <c r="D472" s="20" t="s">
        <v>76</v>
      </c>
      <c r="E472" s="21">
        <v>4.0</v>
      </c>
      <c r="F472" s="22" t="s">
        <v>38</v>
      </c>
      <c r="G472" s="23" t="s">
        <v>20</v>
      </c>
      <c r="H472" s="24" t="s">
        <v>11</v>
      </c>
      <c r="I472" s="25">
        <f>IFERROR(VLOOKUP(VALUE(B472), 'คำนวณ '!A:U, 21, FALSE), "")</f>
        <v>1</v>
      </c>
      <c r="J472" s="26">
        <f>IFERROR(VLOOKUP(VALUE(B472), 'คำนวณ '!A:V, 22, FALSE), "")</f>
        <v>1</v>
      </c>
      <c r="K472" s="27" t="s">
        <v>19</v>
      </c>
      <c r="U472" s="26"/>
      <c r="X472" s="26"/>
    </row>
    <row r="473" ht="15.0" customHeight="1">
      <c r="A473" s="11">
        <v>411.0</v>
      </c>
      <c r="B473" s="18" t="s">
        <v>1013</v>
      </c>
      <c r="C473" s="36" t="s">
        <v>1014</v>
      </c>
      <c r="D473" s="39"/>
      <c r="E473" s="40"/>
      <c r="F473" s="41"/>
      <c r="G473" s="23" t="s">
        <v>20</v>
      </c>
      <c r="H473" s="42"/>
      <c r="I473" s="25" t="str">
        <f>IFERROR(VLOOKUP(VALUE(B473), 'คำนวณ '!A:U, 21, FALSE), "")</f>
        <v/>
      </c>
      <c r="J473" s="26" t="str">
        <f>IFERROR(VLOOKUP(VALUE(B473), 'คำนวณ '!A:V, 22, FALSE), "")</f>
        <v/>
      </c>
      <c r="K473" s="27" t="s">
        <v>19</v>
      </c>
      <c r="U473" s="26"/>
      <c r="X473" s="26"/>
    </row>
    <row r="474" ht="15.0" customHeight="1">
      <c r="A474" s="11">
        <v>411.0</v>
      </c>
      <c r="B474" s="18" t="s">
        <v>1015</v>
      </c>
      <c r="C474" s="36" t="s">
        <v>1016</v>
      </c>
      <c r="D474" s="20" t="s">
        <v>76</v>
      </c>
      <c r="E474" s="21">
        <v>4.0</v>
      </c>
      <c r="F474" s="22" t="s">
        <v>38</v>
      </c>
      <c r="G474" s="23" t="s">
        <v>20</v>
      </c>
      <c r="H474" s="24" t="s">
        <v>11</v>
      </c>
      <c r="I474" s="25">
        <f>IFERROR(VLOOKUP(VALUE(B474), 'คำนวณ '!A:U, 21, FALSE), "")</f>
        <v>1</v>
      </c>
      <c r="J474" s="26">
        <f>IFERROR(VLOOKUP(VALUE(B474), 'คำนวณ '!A:V, 22, FALSE), "")</f>
        <v>1</v>
      </c>
      <c r="K474" s="27" t="s">
        <v>19</v>
      </c>
      <c r="U474" s="26"/>
      <c r="X474" s="26"/>
    </row>
    <row r="475" ht="15.0" customHeight="1">
      <c r="A475" s="11">
        <v>411.0</v>
      </c>
      <c r="B475" s="18" t="s">
        <v>1017</v>
      </c>
      <c r="C475" s="36" t="s">
        <v>1018</v>
      </c>
      <c r="D475" s="20" t="s">
        <v>76</v>
      </c>
      <c r="E475" s="21">
        <v>4.0</v>
      </c>
      <c r="F475" s="22" t="s">
        <v>38</v>
      </c>
      <c r="G475" s="23" t="s">
        <v>20</v>
      </c>
      <c r="H475" s="24" t="s">
        <v>11</v>
      </c>
      <c r="I475" s="25">
        <f>IFERROR(VLOOKUP(VALUE(B475), 'คำนวณ '!A:U, 21, FALSE), "")</f>
        <v>1</v>
      </c>
      <c r="J475" s="26">
        <f>IFERROR(VLOOKUP(VALUE(B475), 'คำนวณ '!A:V, 22, FALSE), "")</f>
        <v>1</v>
      </c>
      <c r="K475" s="27" t="s">
        <v>19</v>
      </c>
      <c r="U475" s="26"/>
      <c r="X475" s="26"/>
    </row>
    <row r="476" ht="15.0" customHeight="1">
      <c r="A476" s="11">
        <v>411.0</v>
      </c>
      <c r="B476" s="18" t="s">
        <v>1019</v>
      </c>
      <c r="C476" s="36" t="s">
        <v>1020</v>
      </c>
      <c r="D476" s="39"/>
      <c r="E476" s="40"/>
      <c r="F476" s="41"/>
      <c r="G476" s="23" t="s">
        <v>20</v>
      </c>
      <c r="H476" s="42"/>
      <c r="I476" s="25" t="str">
        <f>IFERROR(VLOOKUP(VALUE(B476), 'คำนวณ '!A:U, 21, FALSE), "")</f>
        <v/>
      </c>
      <c r="J476" s="26" t="str">
        <f>IFERROR(VLOOKUP(VALUE(B476), 'คำนวณ '!A:V, 22, FALSE), "")</f>
        <v/>
      </c>
      <c r="K476" s="27" t="s">
        <v>19</v>
      </c>
      <c r="U476" s="26"/>
      <c r="X476" s="26"/>
    </row>
    <row r="477" ht="15.0" customHeight="1">
      <c r="A477" s="11">
        <v>411.0</v>
      </c>
      <c r="B477" s="18" t="s">
        <v>1021</v>
      </c>
      <c r="C477" s="36" t="s">
        <v>1022</v>
      </c>
      <c r="D477" s="20" t="s">
        <v>76</v>
      </c>
      <c r="E477" s="21">
        <v>4.0</v>
      </c>
      <c r="F477" s="22" t="s">
        <v>38</v>
      </c>
      <c r="G477" s="23" t="s">
        <v>20</v>
      </c>
      <c r="H477" s="24" t="s">
        <v>11</v>
      </c>
      <c r="I477" s="25">
        <f>IFERROR(VLOOKUP(VALUE(B477), 'คำนวณ '!A:U, 21, FALSE), "")</f>
        <v>1</v>
      </c>
      <c r="J477" s="26">
        <f>IFERROR(VLOOKUP(VALUE(B477), 'คำนวณ '!A:V, 22, FALSE), "")</f>
        <v>1</v>
      </c>
      <c r="K477" s="27" t="s">
        <v>19</v>
      </c>
      <c r="U477" s="26"/>
      <c r="X477" s="26"/>
    </row>
    <row r="478" ht="15.0" customHeight="1">
      <c r="A478" s="11">
        <v>411.0</v>
      </c>
      <c r="B478" s="18" t="s">
        <v>1023</v>
      </c>
      <c r="C478" s="36" t="s">
        <v>1024</v>
      </c>
      <c r="D478" s="20" t="s">
        <v>76</v>
      </c>
      <c r="E478" s="21">
        <v>4.0</v>
      </c>
      <c r="F478" s="22" t="s">
        <v>38</v>
      </c>
      <c r="G478" s="23" t="s">
        <v>20</v>
      </c>
      <c r="H478" s="24" t="s">
        <v>11</v>
      </c>
      <c r="I478" s="25">
        <f>IFERROR(VLOOKUP(VALUE(B478), 'คำนวณ '!A:U, 21, FALSE), "")</f>
        <v>1</v>
      </c>
      <c r="J478" s="26">
        <f>IFERROR(VLOOKUP(VALUE(B478), 'คำนวณ '!A:V, 22, FALSE), "")</f>
        <v>1</v>
      </c>
      <c r="K478" s="27" t="s">
        <v>19</v>
      </c>
      <c r="U478" s="26"/>
      <c r="X478" s="26"/>
    </row>
    <row r="479" ht="15.0" customHeight="1">
      <c r="A479" s="11">
        <v>411.0</v>
      </c>
      <c r="B479" s="18" t="s">
        <v>1025</v>
      </c>
      <c r="C479" s="36" t="s">
        <v>1026</v>
      </c>
      <c r="D479" s="20" t="s">
        <v>76</v>
      </c>
      <c r="E479" s="21">
        <v>4.0</v>
      </c>
      <c r="F479" s="22" t="s">
        <v>38</v>
      </c>
      <c r="G479" s="23" t="s">
        <v>20</v>
      </c>
      <c r="H479" s="24" t="s">
        <v>11</v>
      </c>
      <c r="I479" s="25">
        <f>IFERROR(VLOOKUP(VALUE(B479), 'คำนวณ '!A:U, 21, FALSE), "")</f>
        <v>1</v>
      </c>
      <c r="J479" s="26">
        <f>IFERROR(VLOOKUP(VALUE(B479), 'คำนวณ '!A:V, 22, FALSE), "")</f>
        <v>1</v>
      </c>
      <c r="K479" s="27" t="s">
        <v>19</v>
      </c>
      <c r="U479" s="26"/>
      <c r="X479" s="26"/>
    </row>
    <row r="480" ht="15.0" customHeight="1">
      <c r="A480" s="11">
        <v>411.0</v>
      </c>
      <c r="B480" s="18" t="s">
        <v>1027</v>
      </c>
      <c r="C480" s="36" t="s">
        <v>1028</v>
      </c>
      <c r="D480" s="20" t="s">
        <v>76</v>
      </c>
      <c r="E480" s="21">
        <v>4.0</v>
      </c>
      <c r="F480" s="22" t="s">
        <v>38</v>
      </c>
      <c r="G480" s="23" t="s">
        <v>20</v>
      </c>
      <c r="H480" s="24" t="s">
        <v>11</v>
      </c>
      <c r="I480" s="25">
        <f>IFERROR(VLOOKUP(VALUE(B480), 'คำนวณ '!A:U, 21, FALSE), "")</f>
        <v>1</v>
      </c>
      <c r="J480" s="26" t="str">
        <f>IFERROR(VLOOKUP(VALUE(B480), 'คำนวณ '!A:V, 22, FALSE), "")</f>
        <v/>
      </c>
      <c r="K480" s="27" t="s">
        <v>19</v>
      </c>
      <c r="U480" s="26"/>
      <c r="X480" s="26"/>
    </row>
    <row r="481" ht="15.0" customHeight="1">
      <c r="A481" s="11">
        <v>411.0</v>
      </c>
      <c r="B481" s="18" t="s">
        <v>1029</v>
      </c>
      <c r="C481" s="36" t="s">
        <v>1030</v>
      </c>
      <c r="D481" s="20" t="s">
        <v>76</v>
      </c>
      <c r="E481" s="21">
        <v>4.0</v>
      </c>
      <c r="F481" s="22" t="s">
        <v>38</v>
      </c>
      <c r="G481" s="23" t="s">
        <v>20</v>
      </c>
      <c r="H481" s="24" t="s">
        <v>11</v>
      </c>
      <c r="I481" s="25">
        <f>IFERROR(VLOOKUP(VALUE(B481), 'คำนวณ '!A:U, 21, FALSE), "")</f>
        <v>1</v>
      </c>
      <c r="J481" s="26">
        <f>IFERROR(VLOOKUP(VALUE(B481), 'คำนวณ '!A:V, 22, FALSE), "")</f>
        <v>1</v>
      </c>
      <c r="K481" s="27" t="s">
        <v>19</v>
      </c>
      <c r="U481" s="26"/>
      <c r="X481" s="26"/>
    </row>
    <row r="482" ht="15.0" customHeight="1">
      <c r="A482" s="11">
        <v>412.0</v>
      </c>
      <c r="B482" s="18" t="s">
        <v>1031</v>
      </c>
      <c r="C482" s="36" t="s">
        <v>1032</v>
      </c>
      <c r="D482" s="39"/>
      <c r="E482" s="40"/>
      <c r="F482" s="41"/>
      <c r="G482" s="23" t="s">
        <v>25</v>
      </c>
      <c r="H482" s="42"/>
      <c r="I482" s="25" t="str">
        <f>IFERROR(VLOOKUP(VALUE(B482), 'คำนวณ '!A:U, 21, FALSE), "")</f>
        <v/>
      </c>
      <c r="J482" s="26" t="str">
        <f>IFERROR(VLOOKUP(VALUE(B482), 'คำนวณ '!A:V, 22, FALSE), "")</f>
        <v/>
      </c>
      <c r="K482" s="27" t="s">
        <v>19</v>
      </c>
      <c r="U482" s="26"/>
      <c r="X482" s="26"/>
    </row>
    <row r="483" ht="15.0" customHeight="1">
      <c r="A483" s="11">
        <v>412.0</v>
      </c>
      <c r="B483" s="18" t="s">
        <v>1033</v>
      </c>
      <c r="C483" s="36" t="s">
        <v>1034</v>
      </c>
      <c r="D483" s="39"/>
      <c r="E483" s="40"/>
      <c r="F483" s="41"/>
      <c r="G483" s="23" t="s">
        <v>25</v>
      </c>
      <c r="H483" s="42"/>
      <c r="I483" s="25" t="str">
        <f>IFERROR(VLOOKUP(VALUE(B483), 'คำนวณ '!A:U, 21, FALSE), "")</f>
        <v/>
      </c>
      <c r="J483" s="26" t="str">
        <f>IFERROR(VLOOKUP(VALUE(B483), 'คำนวณ '!A:V, 22, FALSE), "")</f>
        <v/>
      </c>
      <c r="K483" s="27" t="s">
        <v>19</v>
      </c>
      <c r="U483" s="26"/>
      <c r="X483" s="26"/>
    </row>
    <row r="484" ht="15.0" customHeight="1">
      <c r="A484" s="11">
        <v>412.0</v>
      </c>
      <c r="B484" s="18" t="s">
        <v>1035</v>
      </c>
      <c r="C484" s="36" t="s">
        <v>1036</v>
      </c>
      <c r="D484" s="20" t="s">
        <v>63</v>
      </c>
      <c r="E484" s="21">
        <v>2.0</v>
      </c>
      <c r="F484" s="22" t="s">
        <v>83</v>
      </c>
      <c r="G484" s="23" t="s">
        <v>25</v>
      </c>
      <c r="H484" s="24" t="s">
        <v>11</v>
      </c>
      <c r="I484" s="25">
        <f>IFERROR(VLOOKUP(VALUE(B484), 'คำนวณ '!A:U, 21, FALSE), "")</f>
        <v>1</v>
      </c>
      <c r="J484" s="26">
        <f>IFERROR(VLOOKUP(VALUE(B484), 'คำนวณ '!A:V, 22, FALSE), "")</f>
        <v>1</v>
      </c>
      <c r="K484" s="27" t="s">
        <v>19</v>
      </c>
      <c r="U484" s="26"/>
      <c r="X484" s="26"/>
    </row>
    <row r="485" ht="15.0" customHeight="1">
      <c r="A485" s="11">
        <v>412.0</v>
      </c>
      <c r="B485" s="18" t="s">
        <v>1037</v>
      </c>
      <c r="C485" s="36" t="s">
        <v>1038</v>
      </c>
      <c r="D485" s="20" t="s">
        <v>63</v>
      </c>
      <c r="E485" s="21">
        <v>2.0</v>
      </c>
      <c r="F485" s="22" t="s">
        <v>83</v>
      </c>
      <c r="G485" s="23" t="s">
        <v>25</v>
      </c>
      <c r="H485" s="24" t="s">
        <v>11</v>
      </c>
      <c r="I485" s="25">
        <f>IFERROR(VLOOKUP(VALUE(B485), 'คำนวณ '!A:U, 21, FALSE), "")</f>
        <v>1</v>
      </c>
      <c r="J485" s="26">
        <f>IFERROR(VLOOKUP(VALUE(B485), 'คำนวณ '!A:V, 22, FALSE), "")</f>
        <v>1</v>
      </c>
      <c r="K485" s="27" t="s">
        <v>19</v>
      </c>
      <c r="U485" s="26"/>
      <c r="X485" s="26"/>
    </row>
    <row r="486" ht="15.0" customHeight="1">
      <c r="A486" s="11">
        <v>412.0</v>
      </c>
      <c r="B486" s="18" t="s">
        <v>1039</v>
      </c>
      <c r="C486" s="36" t="s">
        <v>1040</v>
      </c>
      <c r="D486" s="20" t="s">
        <v>63</v>
      </c>
      <c r="E486" s="21">
        <v>2.0</v>
      </c>
      <c r="F486" s="22" t="s">
        <v>83</v>
      </c>
      <c r="G486" s="23" t="s">
        <v>25</v>
      </c>
      <c r="H486" s="24" t="s">
        <v>11</v>
      </c>
      <c r="I486" s="25">
        <f>IFERROR(VLOOKUP(VALUE(B486), 'คำนวณ '!A:U, 21, FALSE), "")</f>
        <v>1</v>
      </c>
      <c r="J486" s="26">
        <f>IFERROR(VLOOKUP(VALUE(B486), 'คำนวณ '!A:V, 22, FALSE), "")</f>
        <v>1</v>
      </c>
      <c r="K486" s="27" t="s">
        <v>19</v>
      </c>
      <c r="U486" s="26"/>
      <c r="X486" s="26"/>
    </row>
    <row r="487" ht="15.0" customHeight="1">
      <c r="A487" s="11">
        <v>412.0</v>
      </c>
      <c r="B487" s="18" t="s">
        <v>1041</v>
      </c>
      <c r="C487" s="36" t="s">
        <v>1042</v>
      </c>
      <c r="D487" s="20" t="s">
        <v>63</v>
      </c>
      <c r="E487" s="21">
        <v>2.0</v>
      </c>
      <c r="F487" s="22" t="s">
        <v>83</v>
      </c>
      <c r="G487" s="23" t="s">
        <v>25</v>
      </c>
      <c r="H487" s="24" t="s">
        <v>11</v>
      </c>
      <c r="I487" s="25">
        <f>IFERROR(VLOOKUP(VALUE(B487), 'คำนวณ '!A:U, 21, FALSE), "")</f>
        <v>1</v>
      </c>
      <c r="J487" s="26">
        <f>IFERROR(VLOOKUP(VALUE(B487), 'คำนวณ '!A:V, 22, FALSE), "")</f>
        <v>1</v>
      </c>
      <c r="K487" s="27" t="s">
        <v>19</v>
      </c>
      <c r="U487" s="26"/>
      <c r="X487" s="26"/>
    </row>
    <row r="488" ht="15.0" customHeight="1">
      <c r="A488" s="11">
        <v>412.0</v>
      </c>
      <c r="B488" s="18" t="s">
        <v>1043</v>
      </c>
      <c r="C488" s="36" t="s">
        <v>1044</v>
      </c>
      <c r="D488" s="20" t="s">
        <v>63</v>
      </c>
      <c r="E488" s="21">
        <v>2.0</v>
      </c>
      <c r="F488" s="22" t="s">
        <v>83</v>
      </c>
      <c r="G488" s="23" t="s">
        <v>25</v>
      </c>
      <c r="H488" s="24" t="s">
        <v>11</v>
      </c>
      <c r="I488" s="25">
        <f>IFERROR(VLOOKUP(VALUE(B488), 'คำนวณ '!A:U, 21, FALSE), "")</f>
        <v>1</v>
      </c>
      <c r="J488" s="26">
        <f>IFERROR(VLOOKUP(VALUE(B488), 'คำนวณ '!A:V, 22, FALSE), "")</f>
        <v>1</v>
      </c>
      <c r="K488" s="27" t="s">
        <v>19</v>
      </c>
      <c r="U488" s="26"/>
      <c r="X488" s="26"/>
    </row>
    <row r="489" ht="15.0" customHeight="1">
      <c r="A489" s="11">
        <v>412.0</v>
      </c>
      <c r="B489" s="18" t="s">
        <v>1045</v>
      </c>
      <c r="C489" s="36" t="s">
        <v>1046</v>
      </c>
      <c r="D489" s="20" t="s">
        <v>63</v>
      </c>
      <c r="E489" s="21">
        <v>4.0</v>
      </c>
      <c r="F489" s="22" t="s">
        <v>38</v>
      </c>
      <c r="G489" s="23" t="s">
        <v>25</v>
      </c>
      <c r="H489" s="24" t="s">
        <v>11</v>
      </c>
      <c r="I489" s="25">
        <f>IFERROR(VLOOKUP(VALUE(B489), 'คำนวณ '!A:U, 21, FALSE), "")</f>
        <v>1</v>
      </c>
      <c r="J489" s="26">
        <f>IFERROR(VLOOKUP(VALUE(B489), 'คำนวณ '!A:V, 22, FALSE), "")</f>
        <v>1</v>
      </c>
      <c r="K489" s="27" t="s">
        <v>19</v>
      </c>
      <c r="U489" s="26"/>
      <c r="X489" s="26"/>
    </row>
    <row r="490" ht="15.0" customHeight="1">
      <c r="A490" s="11">
        <v>412.0</v>
      </c>
      <c r="B490" s="18" t="s">
        <v>1047</v>
      </c>
      <c r="C490" s="36" t="s">
        <v>1048</v>
      </c>
      <c r="D490" s="20" t="s">
        <v>63</v>
      </c>
      <c r="E490" s="21">
        <v>2.0</v>
      </c>
      <c r="F490" s="22" t="s">
        <v>83</v>
      </c>
      <c r="G490" s="23" t="s">
        <v>25</v>
      </c>
      <c r="H490" s="24" t="s">
        <v>11</v>
      </c>
      <c r="I490" s="25">
        <f>IFERROR(VLOOKUP(VALUE(B490), 'คำนวณ '!A:U, 21, FALSE), "")</f>
        <v>1</v>
      </c>
      <c r="J490" s="26">
        <f>IFERROR(VLOOKUP(VALUE(B490), 'คำนวณ '!A:V, 22, FALSE), "")</f>
        <v>1</v>
      </c>
      <c r="K490" s="27" t="s">
        <v>19</v>
      </c>
      <c r="U490" s="26"/>
      <c r="X490" s="26"/>
    </row>
    <row r="491" ht="15.0" customHeight="1">
      <c r="A491" s="11">
        <v>412.0</v>
      </c>
      <c r="B491" s="18" t="s">
        <v>1049</v>
      </c>
      <c r="C491" s="36" t="s">
        <v>1050</v>
      </c>
      <c r="D491" s="20" t="s">
        <v>63</v>
      </c>
      <c r="E491" s="21">
        <v>2.0</v>
      </c>
      <c r="F491" s="22" t="s">
        <v>83</v>
      </c>
      <c r="G491" s="23" t="s">
        <v>25</v>
      </c>
      <c r="H491" s="24" t="s">
        <v>11</v>
      </c>
      <c r="I491" s="25">
        <f>IFERROR(VLOOKUP(VALUE(B491), 'คำนวณ '!A:U, 21, FALSE), "")</f>
        <v>1</v>
      </c>
      <c r="J491" s="26">
        <f>IFERROR(VLOOKUP(VALUE(B491), 'คำนวณ '!A:V, 22, FALSE), "")</f>
        <v>1</v>
      </c>
      <c r="K491" s="27" t="s">
        <v>19</v>
      </c>
      <c r="U491" s="26"/>
      <c r="X491" s="26"/>
    </row>
    <row r="492" ht="15.0" customHeight="1">
      <c r="A492" s="11">
        <v>412.0</v>
      </c>
      <c r="B492" s="18" t="s">
        <v>1051</v>
      </c>
      <c r="C492" s="36" t="s">
        <v>1052</v>
      </c>
      <c r="D492" s="20" t="s">
        <v>63</v>
      </c>
      <c r="E492" s="21">
        <v>2.0</v>
      </c>
      <c r="F492" s="22" t="s">
        <v>83</v>
      </c>
      <c r="G492" s="23" t="s">
        <v>25</v>
      </c>
      <c r="H492" s="24" t="s">
        <v>11</v>
      </c>
      <c r="I492" s="25">
        <f>IFERROR(VLOOKUP(VALUE(B492), 'คำนวณ '!A:U, 21, FALSE), "")</f>
        <v>1</v>
      </c>
      <c r="J492" s="26">
        <f>IFERROR(VLOOKUP(VALUE(B492), 'คำนวณ '!A:V, 22, FALSE), "")</f>
        <v>1</v>
      </c>
      <c r="K492" s="27" t="s">
        <v>19</v>
      </c>
      <c r="U492" s="26"/>
      <c r="X492" s="26"/>
    </row>
    <row r="493" ht="15.0" customHeight="1">
      <c r="A493" s="11">
        <v>412.0</v>
      </c>
      <c r="B493" s="18" t="s">
        <v>1053</v>
      </c>
      <c r="C493" s="36" t="s">
        <v>1054</v>
      </c>
      <c r="D493" s="20" t="s">
        <v>63</v>
      </c>
      <c r="E493" s="21">
        <v>2.0</v>
      </c>
      <c r="F493" s="22" t="s">
        <v>83</v>
      </c>
      <c r="G493" s="23" t="s">
        <v>25</v>
      </c>
      <c r="H493" s="24" t="s">
        <v>11</v>
      </c>
      <c r="I493" s="25">
        <f>IFERROR(VLOOKUP(VALUE(B493), 'คำนวณ '!A:U, 21, FALSE), "")</f>
        <v>1</v>
      </c>
      <c r="J493" s="26">
        <f>IFERROR(VLOOKUP(VALUE(B493), 'คำนวณ '!A:V, 22, FALSE), "")</f>
        <v>1</v>
      </c>
      <c r="K493" s="27" t="s">
        <v>19</v>
      </c>
      <c r="U493" s="26"/>
      <c r="X493" s="26"/>
    </row>
    <row r="494" ht="15.0" customHeight="1">
      <c r="A494" s="11">
        <v>412.0</v>
      </c>
      <c r="B494" s="18" t="s">
        <v>1055</v>
      </c>
      <c r="C494" s="36" t="s">
        <v>1056</v>
      </c>
      <c r="D494" s="20" t="s">
        <v>63</v>
      </c>
      <c r="E494" s="21">
        <v>2.0</v>
      </c>
      <c r="F494" s="22" t="s">
        <v>83</v>
      </c>
      <c r="G494" s="23" t="s">
        <v>25</v>
      </c>
      <c r="H494" s="24" t="s">
        <v>11</v>
      </c>
      <c r="I494" s="25">
        <f>IFERROR(VLOOKUP(VALUE(B494), 'คำนวณ '!A:U, 21, FALSE), "")</f>
        <v>1</v>
      </c>
      <c r="J494" s="26">
        <f>IFERROR(VLOOKUP(VALUE(B494), 'คำนวณ '!A:V, 22, FALSE), "")</f>
        <v>1</v>
      </c>
      <c r="K494" s="27" t="s">
        <v>19</v>
      </c>
      <c r="U494" s="26"/>
      <c r="X494" s="26"/>
    </row>
    <row r="495" ht="15.0" customHeight="1">
      <c r="A495" s="11">
        <v>412.0</v>
      </c>
      <c r="B495" s="18" t="s">
        <v>1057</v>
      </c>
      <c r="C495" s="36" t="s">
        <v>1058</v>
      </c>
      <c r="D495" s="20" t="s">
        <v>63</v>
      </c>
      <c r="E495" s="21">
        <v>4.0</v>
      </c>
      <c r="F495" s="22" t="s">
        <v>38</v>
      </c>
      <c r="G495" s="23" t="s">
        <v>25</v>
      </c>
      <c r="H495" s="24" t="s">
        <v>11</v>
      </c>
      <c r="I495" s="25">
        <f>IFERROR(VLOOKUP(VALUE(B495), 'คำนวณ '!A:U, 21, FALSE), "")</f>
        <v>1</v>
      </c>
      <c r="J495" s="26">
        <f>IFERROR(VLOOKUP(VALUE(B495), 'คำนวณ '!A:V, 22, FALSE), "")</f>
        <v>1</v>
      </c>
      <c r="K495" s="27" t="s">
        <v>19</v>
      </c>
      <c r="U495" s="26"/>
      <c r="X495" s="26"/>
    </row>
    <row r="496" ht="15.0" customHeight="1">
      <c r="A496" s="11">
        <v>412.0</v>
      </c>
      <c r="B496" s="18" t="s">
        <v>1059</v>
      </c>
      <c r="C496" s="36" t="s">
        <v>1060</v>
      </c>
      <c r="D496" s="20" t="s">
        <v>63</v>
      </c>
      <c r="E496" s="21">
        <v>2.0</v>
      </c>
      <c r="F496" s="22" t="s">
        <v>83</v>
      </c>
      <c r="G496" s="23" t="s">
        <v>25</v>
      </c>
      <c r="H496" s="24" t="s">
        <v>11</v>
      </c>
      <c r="I496" s="25">
        <f>IFERROR(VLOOKUP(VALUE(B496), 'คำนวณ '!A:U, 21, FALSE), "")</f>
        <v>1</v>
      </c>
      <c r="J496" s="26">
        <f>IFERROR(VLOOKUP(VALUE(B496), 'คำนวณ '!A:V, 22, FALSE), "")</f>
        <v>1</v>
      </c>
      <c r="K496" s="27" t="s">
        <v>19</v>
      </c>
      <c r="U496" s="26"/>
      <c r="X496" s="26"/>
    </row>
    <row r="497" ht="15.0" customHeight="1">
      <c r="A497" s="11">
        <v>412.0</v>
      </c>
      <c r="B497" s="18" t="s">
        <v>1061</v>
      </c>
      <c r="C497" s="36" t="s">
        <v>1062</v>
      </c>
      <c r="D497" s="39"/>
      <c r="E497" s="40"/>
      <c r="F497" s="41"/>
      <c r="G497" s="23" t="s">
        <v>25</v>
      </c>
      <c r="H497" s="42"/>
      <c r="I497" s="25" t="str">
        <f>IFERROR(VLOOKUP(VALUE(B497), 'คำนวณ '!A:U, 21, FALSE), "")</f>
        <v/>
      </c>
      <c r="J497" s="26" t="str">
        <f>IFERROR(VLOOKUP(VALUE(B497), 'คำนวณ '!A:V, 22, FALSE), "")</f>
        <v/>
      </c>
      <c r="K497" s="27" t="s">
        <v>19</v>
      </c>
      <c r="U497" s="26"/>
      <c r="X497" s="26"/>
    </row>
    <row r="498" ht="15.0" customHeight="1">
      <c r="A498" s="11">
        <v>412.0</v>
      </c>
      <c r="B498" s="18" t="s">
        <v>1063</v>
      </c>
      <c r="C498" s="36" t="s">
        <v>1064</v>
      </c>
      <c r="D498" s="39"/>
      <c r="E498" s="40"/>
      <c r="F498" s="41"/>
      <c r="G498" s="23" t="s">
        <v>25</v>
      </c>
      <c r="H498" s="42"/>
      <c r="I498" s="25" t="str">
        <f>IFERROR(VLOOKUP(VALUE(B498), 'คำนวณ '!A:U, 21, FALSE), "")</f>
        <v/>
      </c>
      <c r="J498" s="26" t="str">
        <f>IFERROR(VLOOKUP(VALUE(B498), 'คำนวณ '!A:V, 22, FALSE), "")</f>
        <v/>
      </c>
      <c r="K498" s="27" t="s">
        <v>19</v>
      </c>
      <c r="U498" s="26"/>
      <c r="X498" s="26"/>
    </row>
    <row r="499" ht="15.0" customHeight="1">
      <c r="A499" s="11">
        <v>412.0</v>
      </c>
      <c r="B499" s="18" t="s">
        <v>1065</v>
      </c>
      <c r="C499" s="36" t="s">
        <v>1066</v>
      </c>
      <c r="D499" s="20" t="s">
        <v>63</v>
      </c>
      <c r="E499" s="21">
        <v>2.0</v>
      </c>
      <c r="F499" s="22" t="s">
        <v>83</v>
      </c>
      <c r="G499" s="23" t="s">
        <v>25</v>
      </c>
      <c r="H499" s="24" t="s">
        <v>11</v>
      </c>
      <c r="I499" s="25">
        <f>IFERROR(VLOOKUP(VALUE(B499), 'คำนวณ '!A:U, 21, FALSE), "")</f>
        <v>1</v>
      </c>
      <c r="J499" s="26">
        <f>IFERROR(VLOOKUP(VALUE(B499), 'คำนวณ '!A:V, 22, FALSE), "")</f>
        <v>1</v>
      </c>
      <c r="K499" s="27" t="s">
        <v>19</v>
      </c>
      <c r="U499" s="26"/>
      <c r="X499" s="26"/>
    </row>
    <row r="500" ht="15.0" customHeight="1">
      <c r="A500" s="11">
        <v>412.0</v>
      </c>
      <c r="B500" s="18" t="s">
        <v>1067</v>
      </c>
      <c r="C500" s="36" t="s">
        <v>1068</v>
      </c>
      <c r="D500" s="20" t="s">
        <v>63</v>
      </c>
      <c r="E500" s="21">
        <v>2.0</v>
      </c>
      <c r="F500" s="22" t="s">
        <v>83</v>
      </c>
      <c r="G500" s="23" t="s">
        <v>25</v>
      </c>
      <c r="H500" s="24" t="s">
        <v>11</v>
      </c>
      <c r="I500" s="25">
        <f>IFERROR(VLOOKUP(VALUE(B500), 'คำนวณ '!A:U, 21, FALSE), "")</f>
        <v>1</v>
      </c>
      <c r="J500" s="26">
        <f>IFERROR(VLOOKUP(VALUE(B500), 'คำนวณ '!A:V, 22, FALSE), "")</f>
        <v>1</v>
      </c>
      <c r="K500" s="27" t="s">
        <v>19</v>
      </c>
      <c r="U500" s="26"/>
      <c r="X500" s="26"/>
    </row>
    <row r="501" ht="15.0" customHeight="1">
      <c r="A501" s="11">
        <v>412.0</v>
      </c>
      <c r="B501" s="18" t="s">
        <v>1069</v>
      </c>
      <c r="C501" s="36" t="s">
        <v>1070</v>
      </c>
      <c r="D501" s="20" t="s">
        <v>63</v>
      </c>
      <c r="E501" s="21">
        <v>4.0</v>
      </c>
      <c r="F501" s="22" t="s">
        <v>1071</v>
      </c>
      <c r="G501" s="23" t="s">
        <v>25</v>
      </c>
      <c r="H501" s="24" t="s">
        <v>11</v>
      </c>
      <c r="I501" s="25">
        <f>IFERROR(VLOOKUP(VALUE(B501), 'คำนวณ '!A:U, 21, FALSE), "")</f>
        <v>1</v>
      </c>
      <c r="J501" s="26">
        <f>IFERROR(VLOOKUP(VALUE(B501), 'คำนวณ '!A:V, 22, FALSE), "")</f>
        <v>1</v>
      </c>
      <c r="K501" s="27" t="s">
        <v>19</v>
      </c>
      <c r="U501" s="26"/>
      <c r="X501" s="26"/>
    </row>
    <row r="502" ht="15.0" customHeight="1">
      <c r="A502" s="11">
        <v>412.0</v>
      </c>
      <c r="B502" s="18" t="s">
        <v>1072</v>
      </c>
      <c r="C502" s="36" t="s">
        <v>1073</v>
      </c>
      <c r="D502" s="20" t="s">
        <v>63</v>
      </c>
      <c r="E502" s="21">
        <v>4.0</v>
      </c>
      <c r="F502" s="22" t="s">
        <v>1071</v>
      </c>
      <c r="G502" s="23" t="s">
        <v>25</v>
      </c>
      <c r="H502" s="24" t="s">
        <v>11</v>
      </c>
      <c r="I502" s="25">
        <f>IFERROR(VLOOKUP(VALUE(B502), 'คำนวณ '!A:U, 21, FALSE), "")</f>
        <v>1</v>
      </c>
      <c r="J502" s="26">
        <f>IFERROR(VLOOKUP(VALUE(B502), 'คำนวณ '!A:V, 22, FALSE), "")</f>
        <v>1</v>
      </c>
      <c r="K502" s="27" t="s">
        <v>19</v>
      </c>
      <c r="U502" s="26"/>
      <c r="X502" s="26"/>
    </row>
    <row r="503" ht="15.0" customHeight="1">
      <c r="A503" s="11">
        <v>412.0</v>
      </c>
      <c r="B503" s="18" t="s">
        <v>1074</v>
      </c>
      <c r="C503" s="36" t="s">
        <v>1075</v>
      </c>
      <c r="D503" s="20" t="s">
        <v>63</v>
      </c>
      <c r="E503" s="21">
        <v>2.0</v>
      </c>
      <c r="F503" s="22" t="s">
        <v>83</v>
      </c>
      <c r="G503" s="23" t="s">
        <v>25</v>
      </c>
      <c r="H503" s="24" t="s">
        <v>11</v>
      </c>
      <c r="I503" s="25">
        <f>IFERROR(VLOOKUP(VALUE(B503), 'คำนวณ '!A:U, 21, FALSE), "")</f>
        <v>1</v>
      </c>
      <c r="J503" s="26">
        <f>IFERROR(VLOOKUP(VALUE(B503), 'คำนวณ '!A:V, 22, FALSE), "")</f>
        <v>1</v>
      </c>
      <c r="K503" s="27" t="s">
        <v>19</v>
      </c>
      <c r="U503" s="26"/>
      <c r="X503" s="26"/>
    </row>
    <row r="504" ht="15.0" customHeight="1">
      <c r="A504" s="11">
        <v>412.0</v>
      </c>
      <c r="B504" s="18" t="s">
        <v>1076</v>
      </c>
      <c r="C504" s="36" t="s">
        <v>1077</v>
      </c>
      <c r="D504" s="20" t="s">
        <v>63</v>
      </c>
      <c r="E504" s="21">
        <v>2.0</v>
      </c>
      <c r="F504" s="22" t="s">
        <v>83</v>
      </c>
      <c r="G504" s="23" t="s">
        <v>25</v>
      </c>
      <c r="H504" s="24" t="s">
        <v>11</v>
      </c>
      <c r="I504" s="25">
        <f>IFERROR(VLOOKUP(VALUE(B504), 'คำนวณ '!A:U, 21, FALSE), "")</f>
        <v>1</v>
      </c>
      <c r="J504" s="26">
        <f>IFERROR(VLOOKUP(VALUE(B504), 'คำนวณ '!A:V, 22, FALSE), "")</f>
        <v>1</v>
      </c>
      <c r="K504" s="27" t="s">
        <v>19</v>
      </c>
      <c r="U504" s="26"/>
      <c r="X504" s="26"/>
    </row>
    <row r="505" ht="15.0" customHeight="1">
      <c r="A505" s="11">
        <v>412.0</v>
      </c>
      <c r="B505" s="18" t="s">
        <v>1078</v>
      </c>
      <c r="C505" s="36" t="s">
        <v>1044</v>
      </c>
      <c r="D505" s="20" t="s">
        <v>63</v>
      </c>
      <c r="E505" s="21">
        <v>2.0</v>
      </c>
      <c r="F505" s="22" t="s">
        <v>83</v>
      </c>
      <c r="G505" s="23" t="s">
        <v>25</v>
      </c>
      <c r="H505" s="24" t="s">
        <v>11</v>
      </c>
      <c r="I505" s="25">
        <f>IFERROR(VLOOKUP(VALUE(B505), 'คำนวณ '!A:U, 21, FALSE), "")</f>
        <v>1</v>
      </c>
      <c r="J505" s="26">
        <f>IFERROR(VLOOKUP(VALUE(B505), 'คำนวณ '!A:V, 22, FALSE), "")</f>
        <v>1</v>
      </c>
      <c r="K505" s="27" t="s">
        <v>19</v>
      </c>
      <c r="U505" s="26"/>
      <c r="X505" s="26"/>
    </row>
    <row r="506" ht="15.0" customHeight="1">
      <c r="A506" s="11">
        <v>412.0</v>
      </c>
      <c r="B506" s="18" t="s">
        <v>1079</v>
      </c>
      <c r="C506" s="36" t="s">
        <v>1080</v>
      </c>
      <c r="D506" s="39"/>
      <c r="E506" s="40"/>
      <c r="F506" s="41"/>
      <c r="G506" s="62"/>
      <c r="H506" s="42"/>
      <c r="I506" s="25" t="str">
        <f>IFERROR(VLOOKUP(VALUE(B506), 'คำนวณ '!A:U, 21, FALSE), "")</f>
        <v/>
      </c>
      <c r="J506" s="26" t="str">
        <f>IFERROR(VLOOKUP(VALUE(B506), 'คำนวณ '!A:V, 22, FALSE), "")</f>
        <v/>
      </c>
      <c r="K506" s="27" t="s">
        <v>19</v>
      </c>
      <c r="U506" s="26"/>
      <c r="X506" s="26"/>
    </row>
    <row r="507" ht="15.0" customHeight="1">
      <c r="A507" s="11">
        <v>412.0</v>
      </c>
      <c r="B507" s="18" t="s">
        <v>1081</v>
      </c>
      <c r="C507" s="36" t="s">
        <v>1082</v>
      </c>
      <c r="D507" s="20" t="s">
        <v>63</v>
      </c>
      <c r="E507" s="21">
        <v>4.0</v>
      </c>
      <c r="F507" s="22" t="s">
        <v>1083</v>
      </c>
      <c r="G507" s="23" t="s">
        <v>25</v>
      </c>
      <c r="H507" s="24" t="s">
        <v>11</v>
      </c>
      <c r="I507" s="25">
        <f>IFERROR(VLOOKUP(VALUE(B507), 'คำนวณ '!A:U, 21, FALSE), "")</f>
        <v>1</v>
      </c>
      <c r="J507" s="26">
        <f>IFERROR(VLOOKUP(VALUE(B507), 'คำนวณ '!A:V, 22, FALSE), "")</f>
        <v>1</v>
      </c>
      <c r="K507" s="27" t="s">
        <v>19</v>
      </c>
      <c r="U507" s="26"/>
      <c r="X507" s="26"/>
    </row>
    <row r="508" ht="15.0" customHeight="1">
      <c r="A508" s="11">
        <v>421.0</v>
      </c>
      <c r="B508" s="18" t="s">
        <v>1084</v>
      </c>
      <c r="C508" s="36" t="s">
        <v>1085</v>
      </c>
      <c r="D508" s="20" t="s">
        <v>32</v>
      </c>
      <c r="E508" s="21">
        <v>8.0</v>
      </c>
      <c r="F508" s="22" t="s">
        <v>1086</v>
      </c>
      <c r="G508" s="23" t="s">
        <v>20</v>
      </c>
      <c r="H508" s="24" t="s">
        <v>11</v>
      </c>
      <c r="I508" s="25">
        <f>IFERROR(VLOOKUP(VALUE(B508), 'คำนวณ '!A:U, 21, FALSE), "")</f>
        <v>1</v>
      </c>
      <c r="J508" s="26">
        <f>IFERROR(VLOOKUP(VALUE(B508), 'คำนวณ '!A:V, 22, FALSE), "")</f>
        <v>1</v>
      </c>
      <c r="K508" s="47" t="s">
        <v>10</v>
      </c>
      <c r="U508" s="26"/>
      <c r="X508" s="26"/>
    </row>
    <row r="509" ht="15.0" customHeight="1">
      <c r="A509" s="11">
        <v>421.0</v>
      </c>
      <c r="B509" s="18" t="s">
        <v>1087</v>
      </c>
      <c r="C509" s="36" t="s">
        <v>1088</v>
      </c>
      <c r="D509" s="20" t="s">
        <v>57</v>
      </c>
      <c r="E509" s="21">
        <v>4.0</v>
      </c>
      <c r="F509" s="22" t="s">
        <v>38</v>
      </c>
      <c r="G509" s="23" t="s">
        <v>20</v>
      </c>
      <c r="H509" s="24" t="s">
        <v>11</v>
      </c>
      <c r="I509" s="25">
        <f>IFERROR(VLOOKUP(VALUE(B509), 'คำนวณ '!A:U, 21, FALSE), "")</f>
        <v>1</v>
      </c>
      <c r="J509" s="26">
        <f>IFERROR(VLOOKUP(VALUE(B509), 'คำนวณ '!A:V, 22, FALSE), "")</f>
        <v>1</v>
      </c>
      <c r="K509" s="47" t="s">
        <v>10</v>
      </c>
      <c r="U509" s="26"/>
      <c r="X509" s="26"/>
    </row>
    <row r="510" ht="15.0" customHeight="1">
      <c r="A510" s="11">
        <v>421.0</v>
      </c>
      <c r="B510" s="18" t="s">
        <v>1089</v>
      </c>
      <c r="C510" s="36" t="s">
        <v>1090</v>
      </c>
      <c r="D510" s="20" t="s">
        <v>57</v>
      </c>
      <c r="E510" s="21">
        <v>4.0</v>
      </c>
      <c r="F510" s="22" t="s">
        <v>38</v>
      </c>
      <c r="G510" s="23" t="s">
        <v>20</v>
      </c>
      <c r="H510" s="24" t="s">
        <v>11</v>
      </c>
      <c r="I510" s="25">
        <f>IFERROR(VLOOKUP(VALUE(B510), 'คำนวณ '!A:U, 21, FALSE), "")</f>
        <v>1</v>
      </c>
      <c r="J510" s="26">
        <f>IFERROR(VLOOKUP(VALUE(B510), 'คำนวณ '!A:V, 22, FALSE), "")</f>
        <v>1</v>
      </c>
      <c r="K510" s="47" t="s">
        <v>10</v>
      </c>
      <c r="U510" s="26"/>
      <c r="X510" s="26"/>
    </row>
    <row r="511" ht="15.0" customHeight="1">
      <c r="A511" s="11">
        <v>421.0</v>
      </c>
      <c r="B511" s="18" t="s">
        <v>1091</v>
      </c>
      <c r="C511" s="36" t="s">
        <v>1092</v>
      </c>
      <c r="D511" s="20" t="s">
        <v>53</v>
      </c>
      <c r="E511" s="21">
        <v>4.0</v>
      </c>
      <c r="F511" s="22" t="s">
        <v>38</v>
      </c>
      <c r="G511" s="23" t="s">
        <v>20</v>
      </c>
      <c r="H511" s="24" t="s">
        <v>11</v>
      </c>
      <c r="I511" s="25">
        <f>IFERROR(VLOOKUP(VALUE(B511), 'คำนวณ '!A:U, 21, FALSE), "")</f>
        <v>1</v>
      </c>
      <c r="J511" s="26">
        <f>IFERROR(VLOOKUP(VALUE(B511), 'คำนวณ '!A:V, 22, FALSE), "")</f>
        <v>1</v>
      </c>
      <c r="K511" s="47" t="s">
        <v>10</v>
      </c>
      <c r="U511" s="26"/>
      <c r="X511" s="26"/>
    </row>
    <row r="512" ht="15.0" customHeight="1">
      <c r="A512" s="11">
        <v>421.0</v>
      </c>
      <c r="B512" s="18" t="s">
        <v>1093</v>
      </c>
      <c r="C512" s="36" t="s">
        <v>1094</v>
      </c>
      <c r="D512" s="20" t="s">
        <v>53</v>
      </c>
      <c r="E512" s="21">
        <v>8.0</v>
      </c>
      <c r="F512" s="22" t="s">
        <v>590</v>
      </c>
      <c r="G512" s="23" t="s">
        <v>20</v>
      </c>
      <c r="H512" s="24" t="s">
        <v>11</v>
      </c>
      <c r="I512" s="25">
        <f>IFERROR(VLOOKUP(VALUE(B512), 'คำนวณ '!A:U, 21, FALSE), "")</f>
        <v>1</v>
      </c>
      <c r="J512" s="26">
        <f>IFERROR(VLOOKUP(VALUE(B512), 'คำนวณ '!A:V, 22, FALSE), "")</f>
        <v>1</v>
      </c>
      <c r="K512" s="47" t="s">
        <v>10</v>
      </c>
      <c r="U512" s="26"/>
      <c r="X512" s="26"/>
    </row>
    <row r="513" ht="15.0" customHeight="1">
      <c r="A513" s="11">
        <v>421.0</v>
      </c>
      <c r="B513" s="18" t="s">
        <v>1095</v>
      </c>
      <c r="C513" s="36" t="s">
        <v>1096</v>
      </c>
      <c r="D513" s="39"/>
      <c r="E513" s="40"/>
      <c r="F513" s="41"/>
      <c r="G513" s="23" t="s">
        <v>20</v>
      </c>
      <c r="H513" s="42"/>
      <c r="I513" s="25" t="str">
        <f>IFERROR(VLOOKUP(VALUE(B513), 'คำนวณ '!A:U, 21, FALSE), "")</f>
        <v/>
      </c>
      <c r="J513" s="26" t="str">
        <f>IFERROR(VLOOKUP(VALUE(B513), 'คำนวณ '!A:V, 22, FALSE), "")</f>
        <v/>
      </c>
      <c r="K513" s="27" t="s">
        <v>19</v>
      </c>
      <c r="U513" s="26"/>
      <c r="X513" s="26"/>
    </row>
    <row r="514" ht="15.0" customHeight="1">
      <c r="A514" s="11">
        <v>421.0</v>
      </c>
      <c r="B514" s="18" t="s">
        <v>1097</v>
      </c>
      <c r="C514" s="36" t="s">
        <v>1098</v>
      </c>
      <c r="D514" s="20" t="s">
        <v>39</v>
      </c>
      <c r="E514" s="21">
        <v>8.0</v>
      </c>
      <c r="F514" s="22" t="s">
        <v>1099</v>
      </c>
      <c r="G514" s="23" t="s">
        <v>20</v>
      </c>
      <c r="H514" s="24" t="s">
        <v>11</v>
      </c>
      <c r="I514" s="25">
        <f>IFERROR(VLOOKUP(VALUE(B514), 'คำนวณ '!A:U, 21, FALSE), "")</f>
        <v>1</v>
      </c>
      <c r="J514" s="26">
        <f>IFERROR(VLOOKUP(VALUE(B514), 'คำนวณ '!A:V, 22, FALSE), "")</f>
        <v>1</v>
      </c>
      <c r="K514" s="47" t="s">
        <v>10</v>
      </c>
      <c r="U514" s="26"/>
      <c r="X514" s="26"/>
    </row>
    <row r="515" ht="15.0" customHeight="1">
      <c r="A515" s="11">
        <v>421.0</v>
      </c>
      <c r="B515" s="18" t="s">
        <v>1100</v>
      </c>
      <c r="C515" s="36" t="s">
        <v>1101</v>
      </c>
      <c r="D515" s="20" t="s">
        <v>39</v>
      </c>
      <c r="E515" s="21">
        <v>8.0</v>
      </c>
      <c r="F515" s="22" t="s">
        <v>1102</v>
      </c>
      <c r="G515" s="23" t="s">
        <v>20</v>
      </c>
      <c r="H515" s="24" t="s">
        <v>11</v>
      </c>
      <c r="I515" s="25">
        <f>IFERROR(VLOOKUP(VALUE(B515), 'คำนวณ '!A:U, 21, FALSE), "")</f>
        <v>1</v>
      </c>
      <c r="J515" s="26">
        <f>IFERROR(VLOOKUP(VALUE(B515), 'คำนวณ '!A:V, 22, FALSE), "")</f>
        <v>1</v>
      </c>
      <c r="K515" s="47" t="s">
        <v>10</v>
      </c>
      <c r="U515" s="26"/>
      <c r="X515" s="26"/>
    </row>
    <row r="516" ht="15.0" customHeight="1">
      <c r="A516" s="11">
        <v>421.0</v>
      </c>
      <c r="B516" s="18" t="s">
        <v>1103</v>
      </c>
      <c r="C516" s="36" t="s">
        <v>1104</v>
      </c>
      <c r="D516" s="20" t="s">
        <v>66</v>
      </c>
      <c r="E516" s="21">
        <v>8.0</v>
      </c>
      <c r="F516" s="22" t="s">
        <v>1105</v>
      </c>
      <c r="G516" s="23" t="s">
        <v>20</v>
      </c>
      <c r="H516" s="24" t="s">
        <v>11</v>
      </c>
      <c r="I516" s="25">
        <f>IFERROR(VLOOKUP(VALUE(B516), 'คำนวณ '!A:U, 21, FALSE), "")</f>
        <v>1</v>
      </c>
      <c r="J516" s="26">
        <f>IFERROR(VLOOKUP(VALUE(B516), 'คำนวณ '!A:V, 22, FALSE), "")</f>
        <v>1</v>
      </c>
      <c r="K516" s="27" t="s">
        <v>19</v>
      </c>
      <c r="U516" s="26"/>
      <c r="X516" s="26"/>
    </row>
    <row r="517" ht="15.0" customHeight="1">
      <c r="A517" s="11">
        <v>421.0</v>
      </c>
      <c r="B517" s="18" t="s">
        <v>1106</v>
      </c>
      <c r="C517" s="36" t="s">
        <v>1107</v>
      </c>
      <c r="D517" s="20" t="s">
        <v>66</v>
      </c>
      <c r="E517" s="21">
        <v>8.0</v>
      </c>
      <c r="F517" s="22" t="s">
        <v>1108</v>
      </c>
      <c r="G517" s="23" t="s">
        <v>20</v>
      </c>
      <c r="H517" s="24" t="s">
        <v>11</v>
      </c>
      <c r="I517" s="25">
        <f>IFERROR(VLOOKUP(VALUE(B517), 'คำนวณ '!A:U, 21, FALSE), "")</f>
        <v>1</v>
      </c>
      <c r="J517" s="26">
        <f>IFERROR(VLOOKUP(VALUE(B517), 'คำนวณ '!A:V, 22, FALSE), "")</f>
        <v>1</v>
      </c>
      <c r="K517" s="47" t="s">
        <v>10</v>
      </c>
      <c r="U517" s="26"/>
      <c r="X517" s="26"/>
    </row>
    <row r="518" ht="15.0" customHeight="1">
      <c r="A518" s="11">
        <v>421.0</v>
      </c>
      <c r="B518" s="18" t="s">
        <v>1109</v>
      </c>
      <c r="C518" s="36" t="s">
        <v>1110</v>
      </c>
      <c r="D518" s="20" t="s">
        <v>66</v>
      </c>
      <c r="E518" s="21">
        <v>8.0</v>
      </c>
      <c r="F518" s="22" t="s">
        <v>1111</v>
      </c>
      <c r="G518" s="23" t="s">
        <v>20</v>
      </c>
      <c r="H518" s="24" t="s">
        <v>11</v>
      </c>
      <c r="I518" s="25">
        <f>IFERROR(VLOOKUP(VALUE(B518), 'คำนวณ '!A:U, 21, FALSE), "")</f>
        <v>1</v>
      </c>
      <c r="J518" s="26">
        <f>IFERROR(VLOOKUP(VALUE(B518), 'คำนวณ '!A:V, 22, FALSE), "")</f>
        <v>1</v>
      </c>
      <c r="K518" s="47" t="s">
        <v>10</v>
      </c>
      <c r="U518" s="26"/>
      <c r="X518" s="26"/>
    </row>
    <row r="519" ht="15.0" customHeight="1">
      <c r="A519" s="11">
        <v>421.0</v>
      </c>
      <c r="B519" s="18" t="s">
        <v>1112</v>
      </c>
      <c r="C519" s="36" t="s">
        <v>1113</v>
      </c>
      <c r="D519" s="20" t="s">
        <v>66</v>
      </c>
      <c r="E519" s="21">
        <v>4.0</v>
      </c>
      <c r="F519" s="22" t="s">
        <v>38</v>
      </c>
      <c r="G519" s="23" t="s">
        <v>20</v>
      </c>
      <c r="H519" s="24" t="s">
        <v>11</v>
      </c>
      <c r="I519" s="25">
        <f>IFERROR(VLOOKUP(VALUE(B519), 'คำนวณ '!A:U, 21, FALSE), "")</f>
        <v>1</v>
      </c>
      <c r="J519" s="26">
        <f>IFERROR(VLOOKUP(VALUE(B519), 'คำนวณ '!A:V, 22, FALSE), "")</f>
        <v>1</v>
      </c>
      <c r="K519" s="47" t="s">
        <v>10</v>
      </c>
      <c r="U519" s="26"/>
      <c r="X519" s="26"/>
    </row>
    <row r="520" ht="15.0" customHeight="1">
      <c r="A520" s="11">
        <v>421.0</v>
      </c>
      <c r="B520" s="18" t="s">
        <v>1114</v>
      </c>
      <c r="C520" s="36" t="s">
        <v>1115</v>
      </c>
      <c r="D520" s="20" t="s">
        <v>66</v>
      </c>
      <c r="E520" s="21">
        <v>4.0</v>
      </c>
      <c r="F520" s="22" t="s">
        <v>38</v>
      </c>
      <c r="G520" s="23" t="s">
        <v>20</v>
      </c>
      <c r="H520" s="24" t="s">
        <v>11</v>
      </c>
      <c r="I520" s="25">
        <f>IFERROR(VLOOKUP(VALUE(B520), 'คำนวณ '!A:U, 21, FALSE), "")</f>
        <v>1</v>
      </c>
      <c r="J520" s="26">
        <f>IFERROR(VLOOKUP(VALUE(B520), 'คำนวณ '!A:V, 22, FALSE), "")</f>
        <v>1</v>
      </c>
      <c r="K520" s="47" t="s">
        <v>10</v>
      </c>
      <c r="U520" s="26"/>
      <c r="X520" s="26"/>
    </row>
    <row r="521" ht="15.0" customHeight="1">
      <c r="A521" s="11">
        <v>421.0</v>
      </c>
      <c r="B521" s="18" t="s">
        <v>1116</v>
      </c>
      <c r="C521" s="36" t="s">
        <v>1117</v>
      </c>
      <c r="D521" s="20" t="s">
        <v>60</v>
      </c>
      <c r="E521" s="21">
        <v>2.0</v>
      </c>
      <c r="F521" s="22" t="s">
        <v>83</v>
      </c>
      <c r="G521" s="23" t="s">
        <v>29</v>
      </c>
      <c r="H521" s="24" t="s">
        <v>11</v>
      </c>
      <c r="I521" s="25">
        <f>IFERROR(VLOOKUP(VALUE(B521), 'คำนวณ '!A:U, 21, FALSE), "")</f>
        <v>1</v>
      </c>
      <c r="J521" s="26">
        <f>IFERROR(VLOOKUP(VALUE(B521), 'คำนวณ '!A:V, 22, FALSE), "")</f>
        <v>1</v>
      </c>
      <c r="K521" s="27" t="s">
        <v>19</v>
      </c>
      <c r="U521" s="26"/>
      <c r="X521" s="26"/>
    </row>
    <row r="522" ht="15.0" customHeight="1">
      <c r="A522" s="11">
        <v>421.0</v>
      </c>
      <c r="B522" s="18" t="s">
        <v>1118</v>
      </c>
      <c r="C522" s="36" t="s">
        <v>1119</v>
      </c>
      <c r="D522" s="20" t="s">
        <v>60</v>
      </c>
      <c r="E522" s="21">
        <v>4.0</v>
      </c>
      <c r="F522" s="22" t="s">
        <v>38</v>
      </c>
      <c r="G522" s="23" t="s">
        <v>29</v>
      </c>
      <c r="H522" s="24" t="s">
        <v>11</v>
      </c>
      <c r="I522" s="25">
        <f>IFERROR(VLOOKUP(VALUE(B522), 'คำนวณ '!A:U, 21, FALSE), "")</f>
        <v>1</v>
      </c>
      <c r="J522" s="26">
        <f>IFERROR(VLOOKUP(VALUE(B522), 'คำนวณ '!A:V, 22, FALSE), "")</f>
        <v>1</v>
      </c>
      <c r="K522" s="27" t="s">
        <v>19</v>
      </c>
      <c r="U522" s="26"/>
      <c r="X522" s="26"/>
    </row>
    <row r="523" ht="15.0" customHeight="1">
      <c r="A523" s="11">
        <v>421.0</v>
      </c>
      <c r="B523" s="18" t="s">
        <v>1120</v>
      </c>
      <c r="C523" s="36" t="s">
        <v>1121</v>
      </c>
      <c r="D523" s="20" t="s">
        <v>60</v>
      </c>
      <c r="E523" s="21">
        <v>4.0</v>
      </c>
      <c r="F523" s="22" t="s">
        <v>38</v>
      </c>
      <c r="G523" s="23" t="s">
        <v>29</v>
      </c>
      <c r="H523" s="24" t="s">
        <v>11</v>
      </c>
      <c r="I523" s="25">
        <f>IFERROR(VLOOKUP(VALUE(B523), 'คำนวณ '!A:U, 21, FALSE), "")</f>
        <v>1</v>
      </c>
      <c r="J523" s="26">
        <f>IFERROR(VLOOKUP(VALUE(B523), 'คำนวณ '!A:V, 22, FALSE), "")</f>
        <v>1</v>
      </c>
      <c r="K523" s="27" t="s">
        <v>19</v>
      </c>
      <c r="U523" s="26"/>
      <c r="X523" s="26"/>
    </row>
    <row r="524" ht="15.0" customHeight="1">
      <c r="A524" s="11">
        <v>421.0</v>
      </c>
      <c r="B524" s="18" t="s">
        <v>1122</v>
      </c>
      <c r="C524" s="36" t="s">
        <v>1123</v>
      </c>
      <c r="D524" s="20" t="s">
        <v>60</v>
      </c>
      <c r="E524" s="21">
        <v>4.0</v>
      </c>
      <c r="F524" s="22" t="s">
        <v>38</v>
      </c>
      <c r="G524" s="23" t="s">
        <v>20</v>
      </c>
      <c r="H524" s="24" t="s">
        <v>11</v>
      </c>
      <c r="I524" s="25">
        <f>IFERROR(VLOOKUP(VALUE(B524), 'คำนวณ '!A:U, 21, FALSE), "")</f>
        <v>1</v>
      </c>
      <c r="J524" s="26">
        <f>IFERROR(VLOOKUP(VALUE(B524), 'คำนวณ '!A:V, 22, FALSE), "")</f>
        <v>1</v>
      </c>
      <c r="K524" s="27" t="s">
        <v>19</v>
      </c>
      <c r="U524" s="26"/>
      <c r="X524" s="26"/>
    </row>
    <row r="525" ht="15.0" customHeight="1">
      <c r="A525" s="11">
        <v>421.0</v>
      </c>
      <c r="B525" s="18" t="s">
        <v>1124</v>
      </c>
      <c r="C525" s="36" t="s">
        <v>1125</v>
      </c>
      <c r="D525" s="39"/>
      <c r="E525" s="40"/>
      <c r="F525" s="41"/>
      <c r="G525" s="23" t="s">
        <v>29</v>
      </c>
      <c r="H525" s="42"/>
      <c r="I525" s="25" t="str">
        <f>IFERROR(VLOOKUP(VALUE(B525), 'คำนวณ '!A:U, 21, FALSE), "")</f>
        <v/>
      </c>
      <c r="J525" s="26" t="str">
        <f>IFERROR(VLOOKUP(VALUE(B525), 'คำนวณ '!A:V, 22, FALSE), "")</f>
        <v/>
      </c>
      <c r="K525" s="27" t="s">
        <v>19</v>
      </c>
      <c r="U525" s="26"/>
      <c r="X525" s="26"/>
    </row>
    <row r="526" ht="15.0" customHeight="1">
      <c r="A526" s="11">
        <v>421.0</v>
      </c>
      <c r="B526" s="18" t="s">
        <v>1126</v>
      </c>
      <c r="C526" s="36" t="s">
        <v>1127</v>
      </c>
      <c r="D526" s="64" t="s">
        <v>90</v>
      </c>
      <c r="E526" s="21">
        <v>4.0</v>
      </c>
      <c r="F526" s="22" t="s">
        <v>38</v>
      </c>
      <c r="G526" s="23" t="s">
        <v>20</v>
      </c>
      <c r="H526" s="24" t="s">
        <v>11</v>
      </c>
      <c r="I526" s="25">
        <f>IFERROR(VLOOKUP(VALUE(B526), 'คำนวณ '!A:U, 21, FALSE), "")</f>
        <v>1</v>
      </c>
      <c r="J526" s="26">
        <f>IFERROR(VLOOKUP(VALUE(B526), 'คำนวณ '!A:V, 22, FALSE), "")</f>
        <v>1</v>
      </c>
      <c r="K526" s="47" t="s">
        <v>10</v>
      </c>
      <c r="U526" s="26"/>
      <c r="X526" s="26"/>
    </row>
    <row r="527" ht="15.0" customHeight="1">
      <c r="A527" s="11">
        <v>421.0</v>
      </c>
      <c r="B527" s="18" t="s">
        <v>1128</v>
      </c>
      <c r="C527" s="36" t="s">
        <v>1129</v>
      </c>
      <c r="D527" s="20" t="s">
        <v>66</v>
      </c>
      <c r="E527" s="21">
        <v>4.0</v>
      </c>
      <c r="F527" s="22" t="s">
        <v>38</v>
      </c>
      <c r="G527" s="23" t="s">
        <v>20</v>
      </c>
      <c r="H527" s="24" t="s">
        <v>11</v>
      </c>
      <c r="I527" s="25">
        <f>IFERROR(VLOOKUP(VALUE(B527), 'คำนวณ '!A:U, 21, FALSE), "")</f>
        <v>1</v>
      </c>
      <c r="J527" s="26">
        <f>IFERROR(VLOOKUP(VALUE(B527), 'คำนวณ '!A:V, 22, FALSE), "")</f>
        <v>1</v>
      </c>
      <c r="K527" s="27" t="s">
        <v>19</v>
      </c>
      <c r="U527" s="26"/>
      <c r="X527" s="26"/>
    </row>
    <row r="528" ht="15.0" customHeight="1">
      <c r="A528" s="11">
        <v>421.0</v>
      </c>
      <c r="B528" s="18" t="s">
        <v>1130</v>
      </c>
      <c r="C528" s="36" t="s">
        <v>1131</v>
      </c>
      <c r="D528" s="20" t="s">
        <v>66</v>
      </c>
      <c r="E528" s="21">
        <v>8.0</v>
      </c>
      <c r="F528" s="22" t="s">
        <v>1132</v>
      </c>
      <c r="G528" s="23" t="s">
        <v>20</v>
      </c>
      <c r="H528" s="24" t="s">
        <v>11</v>
      </c>
      <c r="I528" s="25">
        <f>IFERROR(VLOOKUP(VALUE(B528), 'คำนวณ '!A:U, 21, FALSE), "")</f>
        <v>1</v>
      </c>
      <c r="J528" s="26">
        <f>IFERROR(VLOOKUP(VALUE(B528), 'คำนวณ '!A:V, 22, FALSE), "")</f>
        <v>1</v>
      </c>
      <c r="K528" s="27" t="s">
        <v>19</v>
      </c>
      <c r="U528" s="26"/>
      <c r="X528" s="26"/>
    </row>
    <row r="529" ht="15.0" customHeight="1">
      <c r="A529" s="11">
        <v>421.0</v>
      </c>
      <c r="B529" s="18" t="s">
        <v>1133</v>
      </c>
      <c r="C529" s="36" t="s">
        <v>1134</v>
      </c>
      <c r="D529" s="20" t="s">
        <v>66</v>
      </c>
      <c r="E529" s="21">
        <v>8.0</v>
      </c>
      <c r="F529" s="22" t="s">
        <v>1135</v>
      </c>
      <c r="G529" s="23" t="s">
        <v>20</v>
      </c>
      <c r="H529" s="24" t="s">
        <v>11</v>
      </c>
      <c r="I529" s="25">
        <f>IFERROR(VLOOKUP(VALUE(B529), 'คำนวณ '!A:U, 21, FALSE), "")</f>
        <v>1</v>
      </c>
      <c r="J529" s="26">
        <f>IFERROR(VLOOKUP(VALUE(B529), 'คำนวณ '!A:V, 22, FALSE), "")</f>
        <v>1</v>
      </c>
      <c r="K529" s="47" t="s">
        <v>10</v>
      </c>
      <c r="U529" s="26"/>
      <c r="X529" s="26"/>
    </row>
    <row r="530" ht="15.0" customHeight="1">
      <c r="A530" s="11">
        <v>421.0</v>
      </c>
      <c r="B530" s="18" t="s">
        <v>1136</v>
      </c>
      <c r="C530" s="36" t="s">
        <v>1137</v>
      </c>
      <c r="D530" s="20" t="s">
        <v>66</v>
      </c>
      <c r="E530" s="21">
        <v>4.0</v>
      </c>
      <c r="F530" s="22" t="s">
        <v>38</v>
      </c>
      <c r="G530" s="23" t="s">
        <v>20</v>
      </c>
      <c r="H530" s="24" t="s">
        <v>11</v>
      </c>
      <c r="I530" s="25">
        <f>IFERROR(VLOOKUP(VALUE(B530), 'คำนวณ '!A:U, 21, FALSE), "")</f>
        <v>1</v>
      </c>
      <c r="J530" s="26">
        <f>IFERROR(VLOOKUP(VALUE(B530), 'คำนวณ '!A:V, 22, FALSE), "")</f>
        <v>1</v>
      </c>
      <c r="K530" s="47" t="s">
        <v>10</v>
      </c>
      <c r="U530" s="26"/>
      <c r="X530" s="26"/>
    </row>
    <row r="531" ht="15.0" customHeight="1">
      <c r="A531" s="11">
        <v>421.0</v>
      </c>
      <c r="B531" s="18" t="s">
        <v>1138</v>
      </c>
      <c r="C531" s="36" t="s">
        <v>1139</v>
      </c>
      <c r="D531" s="20" t="s">
        <v>66</v>
      </c>
      <c r="E531" s="21">
        <v>8.0</v>
      </c>
      <c r="F531" s="22" t="s">
        <v>1140</v>
      </c>
      <c r="G531" s="23" t="s">
        <v>20</v>
      </c>
      <c r="H531" s="24" t="s">
        <v>11</v>
      </c>
      <c r="I531" s="25">
        <f>IFERROR(VLOOKUP(VALUE(B531), 'คำนวณ '!A:U, 21, FALSE), "")</f>
        <v>1</v>
      </c>
      <c r="J531" s="26">
        <f>IFERROR(VLOOKUP(VALUE(B531), 'คำนวณ '!A:V, 22, FALSE), "")</f>
        <v>1</v>
      </c>
      <c r="K531" s="27" t="s">
        <v>19</v>
      </c>
      <c r="U531" s="26"/>
      <c r="X531" s="26"/>
    </row>
    <row r="532" ht="15.0" customHeight="1">
      <c r="A532" s="11">
        <v>421.0</v>
      </c>
      <c r="B532" s="18" t="s">
        <v>1141</v>
      </c>
      <c r="C532" s="36" t="s">
        <v>1142</v>
      </c>
      <c r="D532" s="39"/>
      <c r="E532" s="40"/>
      <c r="F532" s="41"/>
      <c r="G532" s="23" t="s">
        <v>25</v>
      </c>
      <c r="H532" s="42"/>
      <c r="I532" s="25" t="str">
        <f>IFERROR(VLOOKUP(VALUE(B532), 'คำนวณ '!A:U, 21, FALSE), "")</f>
        <v/>
      </c>
      <c r="J532" s="26" t="str">
        <f>IFERROR(VLOOKUP(VALUE(B532), 'คำนวณ '!A:V, 22, FALSE), "")</f>
        <v/>
      </c>
      <c r="K532" s="27" t="s">
        <v>19</v>
      </c>
      <c r="U532" s="26"/>
      <c r="X532" s="26"/>
    </row>
    <row r="533" ht="15.0" customHeight="1">
      <c r="A533" s="11">
        <v>421.0</v>
      </c>
      <c r="B533" s="18" t="s">
        <v>1143</v>
      </c>
      <c r="C533" s="36" t="s">
        <v>1144</v>
      </c>
      <c r="D533" s="39"/>
      <c r="E533" s="40"/>
      <c r="F533" s="41"/>
      <c r="G533" s="23" t="s">
        <v>20</v>
      </c>
      <c r="H533" s="42"/>
      <c r="I533" s="25" t="str">
        <f>IFERROR(VLOOKUP(VALUE(B533), 'คำนวณ '!A:U, 21, FALSE), "")</f>
        <v/>
      </c>
      <c r="J533" s="26" t="str">
        <f>IFERROR(VLOOKUP(VALUE(B533), 'คำนวณ '!A:V, 22, FALSE), "")</f>
        <v/>
      </c>
      <c r="K533" s="27" t="s">
        <v>19</v>
      </c>
      <c r="U533" s="26"/>
      <c r="X533" s="26"/>
    </row>
    <row r="534" ht="15.0" customHeight="1">
      <c r="A534" s="11">
        <v>421.0</v>
      </c>
      <c r="B534" s="18" t="s">
        <v>1145</v>
      </c>
      <c r="C534" s="36" t="s">
        <v>1146</v>
      </c>
      <c r="D534" s="20" t="s">
        <v>66</v>
      </c>
      <c r="E534" s="21">
        <v>8.0</v>
      </c>
      <c r="F534" s="22" t="s">
        <v>1147</v>
      </c>
      <c r="G534" s="23" t="s">
        <v>20</v>
      </c>
      <c r="H534" s="24" t="s">
        <v>11</v>
      </c>
      <c r="I534" s="25">
        <f>IFERROR(VLOOKUP(VALUE(B534), 'คำนวณ '!A:U, 21, FALSE), "")</f>
        <v>1</v>
      </c>
      <c r="J534" s="26">
        <f>IFERROR(VLOOKUP(VALUE(B534), 'คำนวณ '!A:V, 22, FALSE), "")</f>
        <v>1</v>
      </c>
      <c r="K534" s="47" t="s">
        <v>10</v>
      </c>
      <c r="U534" s="26"/>
      <c r="X534" s="26"/>
    </row>
    <row r="535" ht="15.0" customHeight="1">
      <c r="A535" s="11">
        <v>421.0</v>
      </c>
      <c r="B535" s="18" t="s">
        <v>1148</v>
      </c>
      <c r="C535" s="36" t="s">
        <v>1149</v>
      </c>
      <c r="D535" s="20" t="s">
        <v>66</v>
      </c>
      <c r="E535" s="21">
        <v>4.0</v>
      </c>
      <c r="F535" s="22" t="s">
        <v>38</v>
      </c>
      <c r="G535" s="23" t="s">
        <v>20</v>
      </c>
      <c r="H535" s="24" t="s">
        <v>11</v>
      </c>
      <c r="I535" s="25">
        <f>IFERROR(VLOOKUP(VALUE(B535), 'คำนวณ '!A:U, 21, FALSE), "")</f>
        <v>1</v>
      </c>
      <c r="J535" s="26">
        <f>IFERROR(VLOOKUP(VALUE(B535), 'คำนวณ '!A:V, 22, FALSE), "")</f>
        <v>1</v>
      </c>
      <c r="K535" s="27" t="s">
        <v>19</v>
      </c>
      <c r="U535" s="26"/>
      <c r="X535" s="26"/>
    </row>
    <row r="536" ht="15.0" customHeight="1">
      <c r="A536" s="11">
        <v>421.0</v>
      </c>
      <c r="B536" s="18" t="s">
        <v>1150</v>
      </c>
      <c r="C536" s="36" t="s">
        <v>1151</v>
      </c>
      <c r="D536" s="20" t="s">
        <v>66</v>
      </c>
      <c r="E536" s="21">
        <v>4.0</v>
      </c>
      <c r="F536" s="22" t="s">
        <v>38</v>
      </c>
      <c r="G536" s="23" t="s">
        <v>20</v>
      </c>
      <c r="H536" s="24" t="s">
        <v>11</v>
      </c>
      <c r="I536" s="25">
        <f>IFERROR(VLOOKUP(VALUE(B536), 'คำนวณ '!A:U, 21, FALSE), "")</f>
        <v>1</v>
      </c>
      <c r="J536" s="26">
        <f>IFERROR(VLOOKUP(VALUE(B536), 'คำนวณ '!A:V, 22, FALSE), "")</f>
        <v>1</v>
      </c>
      <c r="K536" s="27" t="s">
        <v>19</v>
      </c>
      <c r="U536" s="26"/>
      <c r="X536" s="26"/>
    </row>
    <row r="537" ht="15.0" customHeight="1">
      <c r="A537" s="11">
        <v>421.0</v>
      </c>
      <c r="B537" s="18" t="s">
        <v>1152</v>
      </c>
      <c r="C537" s="36" t="s">
        <v>1153</v>
      </c>
      <c r="D537" s="20" t="s">
        <v>66</v>
      </c>
      <c r="E537" s="21">
        <v>4.0</v>
      </c>
      <c r="F537" s="22" t="s">
        <v>38</v>
      </c>
      <c r="G537" s="23" t="s">
        <v>20</v>
      </c>
      <c r="H537" s="24" t="s">
        <v>11</v>
      </c>
      <c r="I537" s="25">
        <f>IFERROR(VLOOKUP(VALUE(B537), 'คำนวณ '!A:U, 21, FALSE), "")</f>
        <v>1</v>
      </c>
      <c r="J537" s="26">
        <f>IFERROR(VLOOKUP(VALUE(B537), 'คำนวณ '!A:V, 22, FALSE), "")</f>
        <v>1</v>
      </c>
      <c r="K537" s="27" t="s">
        <v>19</v>
      </c>
      <c r="U537" s="26"/>
      <c r="X537" s="26"/>
    </row>
    <row r="538" ht="15.0" customHeight="1">
      <c r="A538" s="11">
        <v>421.0</v>
      </c>
      <c r="B538" s="18" t="s">
        <v>1154</v>
      </c>
      <c r="C538" s="36" t="s">
        <v>1155</v>
      </c>
      <c r="D538" s="20" t="s">
        <v>66</v>
      </c>
      <c r="E538" s="21">
        <v>4.0</v>
      </c>
      <c r="F538" s="22" t="s">
        <v>38</v>
      </c>
      <c r="G538" s="23" t="s">
        <v>20</v>
      </c>
      <c r="H538" s="24" t="s">
        <v>11</v>
      </c>
      <c r="I538" s="25">
        <f>IFERROR(VLOOKUP(VALUE(B538), 'คำนวณ '!A:U, 21, FALSE), "")</f>
        <v>1</v>
      </c>
      <c r="J538" s="26">
        <f>IFERROR(VLOOKUP(VALUE(B538), 'คำนวณ '!A:V, 22, FALSE), "")</f>
        <v>1</v>
      </c>
      <c r="K538" s="27" t="s">
        <v>19</v>
      </c>
      <c r="U538" s="26"/>
      <c r="X538" s="26"/>
    </row>
    <row r="539" ht="15.0" customHeight="1">
      <c r="A539" s="11">
        <v>421.0</v>
      </c>
      <c r="B539" s="18" t="s">
        <v>1156</v>
      </c>
      <c r="C539" s="36" t="s">
        <v>1157</v>
      </c>
      <c r="D539" s="20" t="s">
        <v>66</v>
      </c>
      <c r="E539" s="21">
        <v>4.0</v>
      </c>
      <c r="F539" s="22" t="s">
        <v>38</v>
      </c>
      <c r="G539" s="23" t="s">
        <v>20</v>
      </c>
      <c r="H539" s="24" t="s">
        <v>11</v>
      </c>
      <c r="I539" s="25">
        <f>IFERROR(VLOOKUP(VALUE(B539), 'คำนวณ '!A:U, 21, FALSE), "")</f>
        <v>1</v>
      </c>
      <c r="J539" s="26">
        <f>IFERROR(VLOOKUP(VALUE(B539), 'คำนวณ '!A:V, 22, FALSE), "")</f>
        <v>1</v>
      </c>
      <c r="K539" s="47" t="s">
        <v>10</v>
      </c>
      <c r="U539" s="26"/>
      <c r="X539" s="26"/>
    </row>
    <row r="540" ht="15.0" customHeight="1">
      <c r="A540" s="11">
        <v>422.0</v>
      </c>
      <c r="B540" s="18" t="s">
        <v>1158</v>
      </c>
      <c r="C540" s="36" t="s">
        <v>1159</v>
      </c>
      <c r="D540" s="39"/>
      <c r="E540" s="40"/>
      <c r="F540" s="41"/>
      <c r="G540" s="23" t="s">
        <v>25</v>
      </c>
      <c r="H540" s="42"/>
      <c r="I540" s="25" t="str">
        <f>IFERROR(VLOOKUP(VALUE(B540), 'คำนวณ '!A:U, 21, FALSE), "")</f>
        <v/>
      </c>
      <c r="J540" s="26" t="str">
        <f>IFERROR(VLOOKUP(VALUE(B540), 'คำนวณ '!A:V, 22, FALSE), "")</f>
        <v/>
      </c>
      <c r="K540" s="27" t="s">
        <v>19</v>
      </c>
      <c r="U540" s="26"/>
      <c r="X540" s="26"/>
    </row>
    <row r="541" ht="15.0" customHeight="1">
      <c r="A541" s="11">
        <v>422.0</v>
      </c>
      <c r="B541" s="18" t="s">
        <v>1160</v>
      </c>
      <c r="C541" s="36" t="s">
        <v>1161</v>
      </c>
      <c r="D541" s="39"/>
      <c r="E541" s="40"/>
      <c r="F541" s="41"/>
      <c r="G541" s="23" t="s">
        <v>25</v>
      </c>
      <c r="H541" s="42"/>
      <c r="I541" s="25" t="str">
        <f>IFERROR(VLOOKUP(VALUE(B541), 'คำนวณ '!A:U, 21, FALSE), "")</f>
        <v/>
      </c>
      <c r="J541" s="26" t="str">
        <f>IFERROR(VLOOKUP(VALUE(B541), 'คำนวณ '!A:V, 22, FALSE), "")</f>
        <v/>
      </c>
      <c r="K541" s="27" t="s">
        <v>19</v>
      </c>
      <c r="U541" s="26"/>
      <c r="X541" s="26"/>
    </row>
    <row r="542" ht="15.0" customHeight="1">
      <c r="A542" s="11">
        <v>422.0</v>
      </c>
      <c r="B542" s="18" t="s">
        <v>1162</v>
      </c>
      <c r="C542" s="36" t="s">
        <v>1163</v>
      </c>
      <c r="D542" s="39"/>
      <c r="E542" s="40"/>
      <c r="F542" s="41"/>
      <c r="G542" s="23" t="s">
        <v>25</v>
      </c>
      <c r="H542" s="42"/>
      <c r="I542" s="25" t="str">
        <f>IFERROR(VLOOKUP(VALUE(B542), 'คำนวณ '!A:U, 21, FALSE), "")</f>
        <v/>
      </c>
      <c r="J542" s="26" t="str">
        <f>IFERROR(VLOOKUP(VALUE(B542), 'คำนวณ '!A:V, 22, FALSE), "")</f>
        <v/>
      </c>
      <c r="K542" s="27" t="s">
        <v>19</v>
      </c>
      <c r="U542" s="26"/>
      <c r="X542" s="26"/>
    </row>
    <row r="543" ht="15.0" customHeight="1">
      <c r="A543" s="11">
        <v>422.0</v>
      </c>
      <c r="B543" s="18" t="s">
        <v>1164</v>
      </c>
      <c r="C543" s="36" t="s">
        <v>1165</v>
      </c>
      <c r="D543" s="39"/>
      <c r="E543" s="40"/>
      <c r="F543" s="41"/>
      <c r="G543" s="23" t="s">
        <v>25</v>
      </c>
      <c r="H543" s="42"/>
      <c r="I543" s="25" t="str">
        <f>IFERROR(VLOOKUP(VALUE(B543), 'คำนวณ '!A:U, 21, FALSE), "")</f>
        <v/>
      </c>
      <c r="J543" s="26" t="str">
        <f>IFERROR(VLOOKUP(VALUE(B543), 'คำนวณ '!A:V, 22, FALSE), "")</f>
        <v/>
      </c>
      <c r="K543" s="27" t="s">
        <v>19</v>
      </c>
      <c r="U543" s="26"/>
      <c r="X543" s="26"/>
    </row>
    <row r="544" ht="15.0" customHeight="1">
      <c r="A544" s="11">
        <v>422.0</v>
      </c>
      <c r="B544" s="18" t="s">
        <v>1166</v>
      </c>
      <c r="C544" s="36" t="s">
        <v>1167</v>
      </c>
      <c r="D544" s="39"/>
      <c r="E544" s="40"/>
      <c r="F544" s="41"/>
      <c r="G544" s="23" t="s">
        <v>25</v>
      </c>
      <c r="H544" s="42"/>
      <c r="I544" s="25" t="str">
        <f>IFERROR(VLOOKUP(VALUE(B544), 'คำนวณ '!A:U, 21, FALSE), "")</f>
        <v/>
      </c>
      <c r="J544" s="26" t="str">
        <f>IFERROR(VLOOKUP(VALUE(B544), 'คำนวณ '!A:V, 22, FALSE), "")</f>
        <v/>
      </c>
      <c r="K544" s="27" t="s">
        <v>19</v>
      </c>
      <c r="U544" s="26"/>
      <c r="X544" s="26"/>
    </row>
    <row r="545" ht="15.0" customHeight="1">
      <c r="A545" s="11">
        <v>422.0</v>
      </c>
      <c r="B545" s="18" t="s">
        <v>1168</v>
      </c>
      <c r="C545" s="36" t="s">
        <v>1159</v>
      </c>
      <c r="D545" s="20" t="s">
        <v>63</v>
      </c>
      <c r="E545" s="21">
        <v>2.0</v>
      </c>
      <c r="F545" s="22" t="s">
        <v>83</v>
      </c>
      <c r="G545" s="23" t="s">
        <v>25</v>
      </c>
      <c r="H545" s="24" t="s">
        <v>11</v>
      </c>
      <c r="I545" s="25">
        <f>IFERROR(VLOOKUP(VALUE(B545), 'คำนวณ '!A:U, 21, FALSE), "")</f>
        <v>1</v>
      </c>
      <c r="J545" s="26">
        <f>IFERROR(VLOOKUP(VALUE(B545), 'คำนวณ '!A:V, 22, FALSE), "")</f>
        <v>1</v>
      </c>
      <c r="K545" s="27" t="s">
        <v>19</v>
      </c>
      <c r="U545" s="26"/>
      <c r="X545" s="26"/>
    </row>
    <row r="546" ht="15.0" customHeight="1">
      <c r="A546" s="11">
        <v>422.0</v>
      </c>
      <c r="B546" s="18" t="s">
        <v>1169</v>
      </c>
      <c r="C546" s="36" t="s">
        <v>1161</v>
      </c>
      <c r="D546" s="20" t="s">
        <v>63</v>
      </c>
      <c r="E546" s="21">
        <v>4.0</v>
      </c>
      <c r="F546" s="22" t="s">
        <v>1170</v>
      </c>
      <c r="G546" s="23" t="s">
        <v>25</v>
      </c>
      <c r="H546" s="24" t="s">
        <v>11</v>
      </c>
      <c r="I546" s="25">
        <f>IFERROR(VLOOKUP(VALUE(B546), 'คำนวณ '!A:U, 21, FALSE), "")</f>
        <v>1</v>
      </c>
      <c r="J546" s="26">
        <f>IFERROR(VLOOKUP(VALUE(B546), 'คำนวณ '!A:V, 22, FALSE), "")</f>
        <v>1</v>
      </c>
      <c r="K546" s="27" t="s">
        <v>19</v>
      </c>
      <c r="U546" s="26"/>
      <c r="X546" s="26"/>
    </row>
    <row r="547" ht="15.0" customHeight="1">
      <c r="A547" s="11">
        <v>422.0</v>
      </c>
      <c r="B547" s="18" t="s">
        <v>1171</v>
      </c>
      <c r="C547" s="36" t="s">
        <v>1163</v>
      </c>
      <c r="D547" s="20" t="s">
        <v>63</v>
      </c>
      <c r="E547" s="21">
        <v>4.0</v>
      </c>
      <c r="F547" s="22" t="s">
        <v>38</v>
      </c>
      <c r="G547" s="23" t="s">
        <v>25</v>
      </c>
      <c r="H547" s="24" t="s">
        <v>11</v>
      </c>
      <c r="I547" s="25">
        <f>IFERROR(VLOOKUP(VALUE(B547), 'คำนวณ '!A:U, 21, FALSE), "")</f>
        <v>1</v>
      </c>
      <c r="J547" s="26">
        <f>IFERROR(VLOOKUP(VALUE(B547), 'คำนวณ '!A:V, 22, FALSE), "")</f>
        <v>1</v>
      </c>
      <c r="K547" s="27" t="s">
        <v>19</v>
      </c>
      <c r="U547" s="26"/>
      <c r="X547" s="26"/>
    </row>
    <row r="548" ht="15.0" customHeight="1">
      <c r="A548" s="11">
        <v>422.0</v>
      </c>
      <c r="B548" s="18" t="s">
        <v>1172</v>
      </c>
      <c r="C548" s="36" t="s">
        <v>1173</v>
      </c>
      <c r="D548" s="20" t="s">
        <v>63</v>
      </c>
      <c r="E548" s="21">
        <v>4.0</v>
      </c>
      <c r="F548" s="22" t="s">
        <v>1170</v>
      </c>
      <c r="G548" s="23" t="s">
        <v>25</v>
      </c>
      <c r="H548" s="24" t="s">
        <v>11</v>
      </c>
      <c r="I548" s="25">
        <f>IFERROR(VLOOKUP(VALUE(B548), 'คำนวณ '!A:U, 21, FALSE), "")</f>
        <v>1</v>
      </c>
      <c r="J548" s="26">
        <f>IFERROR(VLOOKUP(VALUE(B548), 'คำนวณ '!A:V, 22, FALSE), "")</f>
        <v>1</v>
      </c>
      <c r="K548" s="27" t="s">
        <v>19</v>
      </c>
      <c r="U548" s="26"/>
      <c r="X548" s="26"/>
    </row>
    <row r="549" ht="15.0" customHeight="1">
      <c r="A549" s="11">
        <v>422.0</v>
      </c>
      <c r="B549" s="18" t="s">
        <v>1174</v>
      </c>
      <c r="C549" s="36" t="s">
        <v>1175</v>
      </c>
      <c r="D549" s="20" t="s">
        <v>63</v>
      </c>
      <c r="E549" s="21">
        <v>4.0</v>
      </c>
      <c r="F549" s="22" t="s">
        <v>1176</v>
      </c>
      <c r="G549" s="23" t="s">
        <v>25</v>
      </c>
      <c r="H549" s="24" t="s">
        <v>11</v>
      </c>
      <c r="I549" s="25">
        <f>IFERROR(VLOOKUP(VALUE(B549), 'คำนวณ '!A:U, 21, FALSE), "")</f>
        <v>1</v>
      </c>
      <c r="J549" s="26">
        <f>IFERROR(VLOOKUP(VALUE(B549), 'คำนวณ '!A:V, 22, FALSE), "")</f>
        <v>1</v>
      </c>
      <c r="K549" s="27" t="s">
        <v>19</v>
      </c>
      <c r="U549" s="26"/>
      <c r="X549" s="26"/>
    </row>
    <row r="550" ht="15.0" customHeight="1">
      <c r="A550" s="11">
        <v>422.0</v>
      </c>
      <c r="B550" s="18" t="s">
        <v>1177</v>
      </c>
      <c r="C550" s="36" t="s">
        <v>1178</v>
      </c>
      <c r="D550" s="20" t="s">
        <v>63</v>
      </c>
      <c r="E550" s="21">
        <v>4.0</v>
      </c>
      <c r="F550" s="22" t="s">
        <v>1170</v>
      </c>
      <c r="G550" s="23" t="s">
        <v>25</v>
      </c>
      <c r="H550" s="24" t="s">
        <v>11</v>
      </c>
      <c r="I550" s="25">
        <f>IFERROR(VLOOKUP(VALUE(B550), 'คำนวณ '!A:U, 21, FALSE), "")</f>
        <v>1</v>
      </c>
      <c r="J550" s="26">
        <f>IFERROR(VLOOKUP(VALUE(B550), 'คำนวณ '!A:V, 22, FALSE), "")</f>
        <v>1</v>
      </c>
      <c r="K550" s="27" t="s">
        <v>19</v>
      </c>
      <c r="U550" s="26"/>
      <c r="X550" s="26"/>
    </row>
    <row r="551" ht="15.0" customHeight="1">
      <c r="A551" s="11">
        <v>422.0</v>
      </c>
      <c r="B551" s="18" t="s">
        <v>1179</v>
      </c>
      <c r="C551" s="36" t="s">
        <v>1056</v>
      </c>
      <c r="D551" s="39"/>
      <c r="E551" s="40"/>
      <c r="F551" s="41"/>
      <c r="G551" s="23" t="s">
        <v>25</v>
      </c>
      <c r="H551" s="42"/>
      <c r="I551" s="25" t="str">
        <f>IFERROR(VLOOKUP(VALUE(B551), 'คำนวณ '!A:U, 21, FALSE), "")</f>
        <v/>
      </c>
      <c r="J551" s="26" t="str">
        <f>IFERROR(VLOOKUP(VALUE(B551), 'คำนวณ '!A:V, 22, FALSE), "")</f>
        <v/>
      </c>
      <c r="K551" s="27" t="s">
        <v>19</v>
      </c>
      <c r="U551" s="26"/>
      <c r="X551" s="26"/>
    </row>
    <row r="552" ht="15.0" customHeight="1">
      <c r="A552" s="11">
        <v>422.0</v>
      </c>
      <c r="B552" s="18" t="s">
        <v>1180</v>
      </c>
      <c r="C552" s="36" t="s">
        <v>1181</v>
      </c>
      <c r="D552" s="39"/>
      <c r="E552" s="40"/>
      <c r="F552" s="41"/>
      <c r="G552" s="23" t="s">
        <v>25</v>
      </c>
      <c r="H552" s="42"/>
      <c r="I552" s="25" t="str">
        <f>IFERROR(VLOOKUP(VALUE(B552), 'คำนวณ '!A:U, 21, FALSE), "")</f>
        <v/>
      </c>
      <c r="J552" s="26" t="str">
        <f>IFERROR(VLOOKUP(VALUE(B552), 'คำนวณ '!A:V, 22, FALSE), "")</f>
        <v/>
      </c>
      <c r="K552" s="27" t="s">
        <v>19</v>
      </c>
      <c r="U552" s="26"/>
      <c r="X552" s="26"/>
    </row>
    <row r="553" ht="15.0" customHeight="1">
      <c r="A553" s="11">
        <v>422.0</v>
      </c>
      <c r="B553" s="18" t="s">
        <v>1182</v>
      </c>
      <c r="C553" s="36" t="s">
        <v>1064</v>
      </c>
      <c r="D553" s="20" t="s">
        <v>63</v>
      </c>
      <c r="E553" s="21">
        <v>4.0</v>
      </c>
      <c r="F553" s="22" t="s">
        <v>1176</v>
      </c>
      <c r="G553" s="23" t="s">
        <v>25</v>
      </c>
      <c r="H553" s="24" t="s">
        <v>11</v>
      </c>
      <c r="I553" s="25">
        <f>IFERROR(VLOOKUP(VALUE(B553), 'คำนวณ '!A:U, 21, FALSE), "")</f>
        <v>1</v>
      </c>
      <c r="J553" s="26" t="str">
        <f>IFERROR(VLOOKUP(VALUE(B553), 'คำนวณ '!A:V, 22, FALSE), "")</f>
        <v/>
      </c>
      <c r="K553" s="27" t="s">
        <v>19</v>
      </c>
      <c r="U553" s="26"/>
      <c r="X553" s="26"/>
    </row>
    <row r="554" ht="15.0" customHeight="1">
      <c r="A554" s="11">
        <v>430.0</v>
      </c>
      <c r="B554" s="18" t="s">
        <v>1183</v>
      </c>
      <c r="C554" s="36" t="s">
        <v>1184</v>
      </c>
      <c r="D554" s="39"/>
      <c r="E554" s="40"/>
      <c r="F554" s="41"/>
      <c r="G554" s="23" t="s">
        <v>25</v>
      </c>
      <c r="H554" s="42"/>
      <c r="I554" s="25" t="str">
        <f>IFERROR(VLOOKUP(VALUE(B554), 'คำนวณ '!A:U, 21, FALSE), "")</f>
        <v/>
      </c>
      <c r="J554" s="26" t="str">
        <f>IFERROR(VLOOKUP(VALUE(B554), 'คำนวณ '!A:V, 22, FALSE), "")</f>
        <v/>
      </c>
      <c r="K554" s="27" t="s">
        <v>19</v>
      </c>
      <c r="U554" s="26"/>
      <c r="X554" s="26"/>
    </row>
    <row r="555" ht="15.0" customHeight="1">
      <c r="A555" s="11">
        <v>430.0</v>
      </c>
      <c r="B555" s="18" t="s">
        <v>1185</v>
      </c>
      <c r="C555" s="36" t="s">
        <v>1186</v>
      </c>
      <c r="D555" s="20" t="s">
        <v>63</v>
      </c>
      <c r="E555" s="21" t="s">
        <v>777</v>
      </c>
      <c r="F555" s="22" t="s">
        <v>777</v>
      </c>
      <c r="G555" s="23" t="s">
        <v>25</v>
      </c>
      <c r="H555" s="24" t="s">
        <v>11</v>
      </c>
      <c r="I555" s="25">
        <f>IFERROR(VLOOKUP(VALUE(B555), 'คำนวณ '!A:U, 21, FALSE), "")</f>
        <v>1</v>
      </c>
      <c r="J555" s="26">
        <f>IFERROR(VLOOKUP(VALUE(B555), 'คำนวณ '!A:V, 22, FALSE), "")</f>
        <v>1</v>
      </c>
      <c r="K555" s="27" t="s">
        <v>19</v>
      </c>
      <c r="U555" s="26"/>
      <c r="X555" s="26"/>
    </row>
    <row r="556" ht="15.0" customHeight="1">
      <c r="A556" s="11">
        <v>430.0</v>
      </c>
      <c r="B556" s="18" t="s">
        <v>1187</v>
      </c>
      <c r="C556" s="36" t="s">
        <v>1188</v>
      </c>
      <c r="D556" s="20" t="s">
        <v>63</v>
      </c>
      <c r="E556" s="21" t="s">
        <v>777</v>
      </c>
      <c r="F556" s="22" t="s">
        <v>777</v>
      </c>
      <c r="G556" s="23" t="s">
        <v>25</v>
      </c>
      <c r="H556" s="24" t="s">
        <v>11</v>
      </c>
      <c r="I556" s="25">
        <f>IFERROR(VLOOKUP(VALUE(B556), 'คำนวณ '!A:U, 21, FALSE), "")</f>
        <v>1</v>
      </c>
      <c r="J556" s="26">
        <f>IFERROR(VLOOKUP(VALUE(B556), 'คำนวณ '!A:V, 22, FALSE), "")</f>
        <v>1</v>
      </c>
      <c r="K556" s="27" t="s">
        <v>19</v>
      </c>
      <c r="U556" s="26"/>
      <c r="X556" s="26"/>
    </row>
    <row r="557" ht="15.0" customHeight="1">
      <c r="A557" s="11">
        <v>511.0</v>
      </c>
      <c r="B557" s="18" t="s">
        <v>1189</v>
      </c>
      <c r="C557" s="36" t="s">
        <v>1190</v>
      </c>
      <c r="D557" s="20" t="s">
        <v>73</v>
      </c>
      <c r="E557" s="21">
        <v>2.0</v>
      </c>
      <c r="F557" s="22" t="s">
        <v>1191</v>
      </c>
      <c r="G557" s="23" t="s">
        <v>25</v>
      </c>
      <c r="H557" s="24" t="s">
        <v>11</v>
      </c>
      <c r="I557" s="25">
        <f>IFERROR(VLOOKUP(VALUE(B557), 'คำนวณ '!A:U, 21, FALSE), "")</f>
        <v>1</v>
      </c>
      <c r="J557" s="26" t="str">
        <f>IFERROR(VLOOKUP(VALUE(B557), 'คำนวณ '!A:V, 22, FALSE), "")</f>
        <v/>
      </c>
      <c r="K557" s="27" t="s">
        <v>19</v>
      </c>
      <c r="U557" s="26"/>
      <c r="X557" s="26"/>
    </row>
    <row r="558" ht="15.0" customHeight="1">
      <c r="A558" s="11">
        <v>511.0</v>
      </c>
      <c r="B558" s="18" t="s">
        <v>1192</v>
      </c>
      <c r="C558" s="36" t="s">
        <v>1193</v>
      </c>
      <c r="D558" s="20" t="s">
        <v>73</v>
      </c>
      <c r="E558" s="21">
        <v>2.0</v>
      </c>
      <c r="F558" s="22" t="s">
        <v>83</v>
      </c>
      <c r="G558" s="23" t="s">
        <v>25</v>
      </c>
      <c r="H558" s="24" t="s">
        <v>11</v>
      </c>
      <c r="I558" s="25">
        <f>IFERROR(VLOOKUP(VALUE(B558), 'คำนวณ '!A:U, 21, FALSE), "")</f>
        <v>1</v>
      </c>
      <c r="J558" s="26">
        <f>IFERROR(VLOOKUP(VALUE(B558), 'คำนวณ '!A:V, 22, FALSE), "")</f>
        <v>1</v>
      </c>
      <c r="K558" s="27" t="s">
        <v>19</v>
      </c>
      <c r="U558" s="26"/>
      <c r="X558" s="26"/>
    </row>
    <row r="559" ht="15.0" customHeight="1">
      <c r="A559" s="11">
        <v>511.0</v>
      </c>
      <c r="B559" s="18" t="s">
        <v>1194</v>
      </c>
      <c r="C559" s="36" t="s">
        <v>1195</v>
      </c>
      <c r="D559" s="20" t="s">
        <v>73</v>
      </c>
      <c r="E559" s="21" t="s">
        <v>777</v>
      </c>
      <c r="F559" s="22" t="s">
        <v>777</v>
      </c>
      <c r="G559" s="23" t="s">
        <v>25</v>
      </c>
      <c r="H559" s="24" t="s">
        <v>11</v>
      </c>
      <c r="I559" s="25">
        <f>IFERROR(VLOOKUP(VALUE(B559), 'คำนวณ '!A:U, 21, FALSE), "")</f>
        <v>1</v>
      </c>
      <c r="J559" s="26" t="str">
        <f>IFERROR(VLOOKUP(VALUE(B559), 'คำนวณ '!A:V, 22, FALSE), "")</f>
        <v/>
      </c>
      <c r="K559" s="27" t="s">
        <v>19</v>
      </c>
      <c r="U559" s="26"/>
      <c r="X559" s="26"/>
    </row>
    <row r="560" ht="15.0" customHeight="1">
      <c r="A560" s="11">
        <v>511.0</v>
      </c>
      <c r="B560" s="18" t="s">
        <v>1196</v>
      </c>
      <c r="C560" s="36" t="s">
        <v>1197</v>
      </c>
      <c r="D560" s="20" t="s">
        <v>73</v>
      </c>
      <c r="E560" s="21">
        <v>2.0</v>
      </c>
      <c r="F560" s="22" t="s">
        <v>1198</v>
      </c>
      <c r="G560" s="23" t="s">
        <v>25</v>
      </c>
      <c r="H560" s="24" t="s">
        <v>11</v>
      </c>
      <c r="I560" s="25">
        <f>IFERROR(VLOOKUP(VALUE(B560), 'คำนวณ '!A:U, 21, FALSE), "")</f>
        <v>1</v>
      </c>
      <c r="J560" s="26">
        <f>IFERROR(VLOOKUP(VALUE(B560), 'คำนวณ '!A:V, 22, FALSE), "")</f>
        <v>1</v>
      </c>
      <c r="K560" s="27" t="s">
        <v>19</v>
      </c>
      <c r="U560" s="26"/>
      <c r="X560" s="26"/>
    </row>
    <row r="561" ht="15.0" customHeight="1">
      <c r="A561" s="11">
        <v>511.0</v>
      </c>
      <c r="B561" s="18" t="s">
        <v>1199</v>
      </c>
      <c r="C561" s="36" t="s">
        <v>1200</v>
      </c>
      <c r="D561" s="39"/>
      <c r="E561" s="40"/>
      <c r="F561" s="41"/>
      <c r="G561" s="23" t="s">
        <v>25</v>
      </c>
      <c r="H561" s="42"/>
      <c r="I561" s="25" t="str">
        <f>IFERROR(VLOOKUP(VALUE(B561), 'คำนวณ '!A:U, 21, FALSE), "")</f>
        <v/>
      </c>
      <c r="J561" s="26" t="str">
        <f>IFERROR(VLOOKUP(VALUE(B561), 'คำนวณ '!A:V, 22, FALSE), "")</f>
        <v/>
      </c>
      <c r="K561" s="27" t="s">
        <v>19</v>
      </c>
      <c r="U561" s="26"/>
      <c r="X561" s="26"/>
    </row>
    <row r="562" ht="15.0" customHeight="1">
      <c r="A562" s="11">
        <v>511.0</v>
      </c>
      <c r="B562" s="18" t="s">
        <v>1201</v>
      </c>
      <c r="C562" s="36" t="s">
        <v>1202</v>
      </c>
      <c r="D562" s="20" t="s">
        <v>73</v>
      </c>
      <c r="E562" s="21">
        <v>1.0</v>
      </c>
      <c r="F562" s="22" t="s">
        <v>774</v>
      </c>
      <c r="G562" s="23" t="s">
        <v>25</v>
      </c>
      <c r="H562" s="24" t="s">
        <v>11</v>
      </c>
      <c r="I562" s="25">
        <f>IFERROR(VLOOKUP(VALUE(B562), 'คำนวณ '!A:U, 21, FALSE), "")</f>
        <v>1</v>
      </c>
      <c r="J562" s="26" t="str">
        <f>IFERROR(VLOOKUP(VALUE(B562), 'คำนวณ '!A:V, 22, FALSE), "")</f>
        <v/>
      </c>
      <c r="K562" s="27" t="s">
        <v>19</v>
      </c>
      <c r="U562" s="26"/>
      <c r="X562" s="26"/>
    </row>
    <row r="563" ht="15.0" customHeight="1">
      <c r="A563" s="11">
        <v>511.0</v>
      </c>
      <c r="B563" s="18" t="s">
        <v>1203</v>
      </c>
      <c r="C563" s="36" t="s">
        <v>1204</v>
      </c>
      <c r="D563" s="39"/>
      <c r="E563" s="40"/>
      <c r="F563" s="41"/>
      <c r="G563" s="23" t="s">
        <v>25</v>
      </c>
      <c r="H563" s="42"/>
      <c r="I563" s="25" t="str">
        <f>IFERROR(VLOOKUP(VALUE(B563), 'คำนวณ '!A:U, 21, FALSE), "")</f>
        <v/>
      </c>
      <c r="J563" s="26" t="str">
        <f>IFERROR(VLOOKUP(VALUE(B563), 'คำนวณ '!A:V, 22, FALSE), "")</f>
        <v/>
      </c>
      <c r="K563" s="27" t="s">
        <v>19</v>
      </c>
      <c r="U563" s="26"/>
      <c r="X563" s="26"/>
    </row>
    <row r="564" ht="15.0" customHeight="1">
      <c r="A564" s="11">
        <v>511.0</v>
      </c>
      <c r="B564" s="18" t="s">
        <v>1205</v>
      </c>
      <c r="C564" s="36" t="s">
        <v>1206</v>
      </c>
      <c r="D564" s="20" t="s">
        <v>73</v>
      </c>
      <c r="E564" s="21">
        <v>2.0</v>
      </c>
      <c r="F564" s="22" t="s">
        <v>83</v>
      </c>
      <c r="G564" s="23" t="s">
        <v>25</v>
      </c>
      <c r="H564" s="24" t="s">
        <v>11</v>
      </c>
      <c r="I564" s="25">
        <f>IFERROR(VLOOKUP(VALUE(B564), 'คำนวณ '!A:U, 21, FALSE), "")</f>
        <v>1</v>
      </c>
      <c r="J564" s="26" t="str">
        <f>IFERROR(VLOOKUP(VALUE(B564), 'คำนวณ '!A:V, 22, FALSE), "")</f>
        <v/>
      </c>
      <c r="K564" s="27" t="s">
        <v>19</v>
      </c>
      <c r="U564" s="26"/>
      <c r="X564" s="26"/>
    </row>
    <row r="565" ht="15.0" customHeight="1">
      <c r="A565" s="11">
        <v>511.0</v>
      </c>
      <c r="B565" s="18" t="s">
        <v>1207</v>
      </c>
      <c r="C565" s="36" t="s">
        <v>1208</v>
      </c>
      <c r="D565" s="39"/>
      <c r="E565" s="40"/>
      <c r="F565" s="41"/>
      <c r="G565" s="23" t="s">
        <v>25</v>
      </c>
      <c r="H565" s="42"/>
      <c r="I565" s="25" t="str">
        <f>IFERROR(VLOOKUP(VALUE(B565), 'คำนวณ '!A:U, 21, FALSE), "")</f>
        <v/>
      </c>
      <c r="J565" s="26" t="str">
        <f>IFERROR(VLOOKUP(VALUE(B565), 'คำนวณ '!A:V, 22, FALSE), "")</f>
        <v/>
      </c>
      <c r="K565" s="27" t="s">
        <v>19</v>
      </c>
      <c r="U565" s="26"/>
      <c r="X565" s="26"/>
    </row>
    <row r="566" ht="15.0" customHeight="1">
      <c r="A566" s="11">
        <v>511.0</v>
      </c>
      <c r="B566" s="18" t="s">
        <v>1209</v>
      </c>
      <c r="C566" s="36" t="s">
        <v>1210</v>
      </c>
      <c r="D566" s="20" t="s">
        <v>39</v>
      </c>
      <c r="E566" s="21" t="s">
        <v>777</v>
      </c>
      <c r="F566" s="22" t="s">
        <v>777</v>
      </c>
      <c r="G566" s="23" t="s">
        <v>25</v>
      </c>
      <c r="H566" s="24" t="s">
        <v>11</v>
      </c>
      <c r="I566" s="25">
        <f>IFERROR(VLOOKUP(VALUE(B566), 'คำนวณ '!A:U, 21, FALSE), "")</f>
        <v>1</v>
      </c>
      <c r="J566" s="26" t="str">
        <f>IFERROR(VLOOKUP(VALUE(B566), 'คำนวณ '!A:V, 22, FALSE), "")</f>
        <v/>
      </c>
      <c r="K566" s="27" t="s">
        <v>19</v>
      </c>
      <c r="U566" s="26"/>
      <c r="X566" s="26"/>
    </row>
    <row r="567" ht="15.0" customHeight="1">
      <c r="A567" s="11">
        <v>511.0</v>
      </c>
      <c r="B567" s="18" t="s">
        <v>1211</v>
      </c>
      <c r="C567" s="36" t="s">
        <v>1212</v>
      </c>
      <c r="D567" s="20" t="s">
        <v>39</v>
      </c>
      <c r="E567" s="21" t="s">
        <v>777</v>
      </c>
      <c r="F567" s="22" t="s">
        <v>777</v>
      </c>
      <c r="G567" s="23" t="s">
        <v>25</v>
      </c>
      <c r="H567" s="24" t="s">
        <v>11</v>
      </c>
      <c r="I567" s="25">
        <f>IFERROR(VLOOKUP(VALUE(B567), 'คำนวณ '!A:U, 21, FALSE), "")</f>
        <v>1</v>
      </c>
      <c r="J567" s="26" t="str">
        <f>IFERROR(VLOOKUP(VALUE(B567), 'คำนวณ '!A:V, 22, FALSE), "")</f>
        <v/>
      </c>
      <c r="K567" s="27" t="s">
        <v>19</v>
      </c>
      <c r="U567" s="26"/>
      <c r="X567" s="26"/>
    </row>
    <row r="568" ht="15.0" customHeight="1">
      <c r="A568" s="11">
        <v>511.0</v>
      </c>
      <c r="B568" s="18" t="s">
        <v>1213</v>
      </c>
      <c r="C568" s="36" t="s">
        <v>1214</v>
      </c>
      <c r="D568" s="20" t="s">
        <v>73</v>
      </c>
      <c r="E568" s="21">
        <v>2.0</v>
      </c>
      <c r="F568" s="22" t="s">
        <v>83</v>
      </c>
      <c r="G568" s="23" t="s">
        <v>25</v>
      </c>
      <c r="H568" s="24" t="s">
        <v>11</v>
      </c>
      <c r="I568" s="25">
        <f>IFERROR(VLOOKUP(VALUE(B568), 'คำนวณ '!A:U, 21, FALSE), "")</f>
        <v>1</v>
      </c>
      <c r="J568" s="26">
        <f>IFERROR(VLOOKUP(VALUE(B568), 'คำนวณ '!A:V, 22, FALSE), "")</f>
        <v>1</v>
      </c>
      <c r="K568" s="27" t="s">
        <v>19</v>
      </c>
      <c r="U568" s="26"/>
      <c r="X568" s="26"/>
    </row>
    <row r="569" ht="15.0" customHeight="1">
      <c r="A569" s="11">
        <v>511.0</v>
      </c>
      <c r="B569" s="18" t="s">
        <v>1215</v>
      </c>
      <c r="C569" s="36" t="s">
        <v>1216</v>
      </c>
      <c r="D569" s="20" t="s">
        <v>39</v>
      </c>
      <c r="E569" s="21" t="s">
        <v>777</v>
      </c>
      <c r="F569" s="22" t="s">
        <v>777</v>
      </c>
      <c r="G569" s="23" t="s">
        <v>25</v>
      </c>
      <c r="H569" s="24" t="s">
        <v>11</v>
      </c>
      <c r="I569" s="25">
        <f>IFERROR(VLOOKUP(VALUE(B569), 'คำนวณ '!A:U, 21, FALSE), "")</f>
        <v>1</v>
      </c>
      <c r="J569" s="26" t="str">
        <f>IFERROR(VLOOKUP(VALUE(B569), 'คำนวณ '!A:V, 22, FALSE), "")</f>
        <v/>
      </c>
      <c r="K569" s="27" t="s">
        <v>19</v>
      </c>
      <c r="U569" s="26"/>
      <c r="X569" s="26"/>
    </row>
    <row r="570" ht="15.0" customHeight="1">
      <c r="A570" s="11">
        <v>512.0</v>
      </c>
      <c r="B570" s="18" t="s">
        <v>1217</v>
      </c>
      <c r="C570" s="36" t="s">
        <v>1218</v>
      </c>
      <c r="D570" s="39"/>
      <c r="E570" s="40"/>
      <c r="F570" s="41"/>
      <c r="G570" s="23" t="s">
        <v>25</v>
      </c>
      <c r="H570" s="42"/>
      <c r="I570" s="25" t="str">
        <f>IFERROR(VLOOKUP(VALUE(B570), 'คำนวณ '!A:U, 21, FALSE), "")</f>
        <v/>
      </c>
      <c r="J570" s="26" t="str">
        <f>IFERROR(VLOOKUP(VALUE(B570), 'คำนวณ '!A:V, 22, FALSE), "")</f>
        <v/>
      </c>
      <c r="K570" s="27" t="s">
        <v>19</v>
      </c>
      <c r="U570" s="26"/>
      <c r="X570" s="26"/>
    </row>
    <row r="571" ht="15.0" customHeight="1">
      <c r="A571" s="11">
        <v>512.0</v>
      </c>
      <c r="B571" s="18" t="s">
        <v>1219</v>
      </c>
      <c r="C571" s="36" t="s">
        <v>1220</v>
      </c>
      <c r="D571" s="20" t="s">
        <v>39</v>
      </c>
      <c r="E571" s="21">
        <v>2.0</v>
      </c>
      <c r="F571" s="22" t="s">
        <v>1221</v>
      </c>
      <c r="G571" s="23" t="s">
        <v>25</v>
      </c>
      <c r="H571" s="24" t="s">
        <v>11</v>
      </c>
      <c r="I571" s="25">
        <f>IFERROR(VLOOKUP(VALUE(B571), 'คำนวณ '!A:U, 21, FALSE), "")</f>
        <v>1</v>
      </c>
      <c r="J571" s="26">
        <f>IFERROR(VLOOKUP(VALUE(B571), 'คำนวณ '!A:V, 22, FALSE), "")</f>
        <v>1</v>
      </c>
      <c r="K571" s="27" t="s">
        <v>19</v>
      </c>
      <c r="U571" s="26"/>
      <c r="X571" s="26"/>
    </row>
    <row r="572" ht="15.0" customHeight="1">
      <c r="A572" s="11">
        <v>512.0</v>
      </c>
      <c r="B572" s="18" t="s">
        <v>1222</v>
      </c>
      <c r="C572" s="36" t="s">
        <v>1223</v>
      </c>
      <c r="D572" s="39"/>
      <c r="E572" s="40"/>
      <c r="F572" s="41"/>
      <c r="G572" s="23" t="s">
        <v>25</v>
      </c>
      <c r="H572" s="42"/>
      <c r="I572" s="25" t="str">
        <f>IFERROR(VLOOKUP(VALUE(B572), 'คำนวณ '!A:U, 21, FALSE), "")</f>
        <v/>
      </c>
      <c r="J572" s="26" t="str">
        <f>IFERROR(VLOOKUP(VALUE(B572), 'คำนวณ '!A:V, 22, FALSE), "")</f>
        <v/>
      </c>
      <c r="K572" s="27" t="s">
        <v>19</v>
      </c>
      <c r="U572" s="26"/>
      <c r="X572" s="26"/>
    </row>
    <row r="573" ht="15.0" customHeight="1">
      <c r="A573" s="11">
        <v>512.0</v>
      </c>
      <c r="B573" s="18" t="s">
        <v>1224</v>
      </c>
      <c r="C573" s="36" t="s">
        <v>1225</v>
      </c>
      <c r="D573" s="39"/>
      <c r="E573" s="40"/>
      <c r="F573" s="41"/>
      <c r="G573" s="23" t="s">
        <v>25</v>
      </c>
      <c r="H573" s="42"/>
      <c r="I573" s="25" t="str">
        <f>IFERROR(VLOOKUP(VALUE(B573), 'คำนวณ '!A:U, 21, FALSE), "")</f>
        <v/>
      </c>
      <c r="J573" s="26" t="str">
        <f>IFERROR(VLOOKUP(VALUE(B573), 'คำนวณ '!A:V, 22, FALSE), "")</f>
        <v/>
      </c>
      <c r="K573" s="27" t="s">
        <v>19</v>
      </c>
      <c r="U573" s="26"/>
      <c r="X573" s="26"/>
    </row>
    <row r="574" ht="15.0" customHeight="1">
      <c r="A574" s="11">
        <v>512.0</v>
      </c>
      <c r="B574" s="18" t="s">
        <v>1226</v>
      </c>
      <c r="C574" s="36" t="s">
        <v>1227</v>
      </c>
      <c r="D574" s="39"/>
      <c r="E574" s="40"/>
      <c r="F574" s="41"/>
      <c r="G574" s="23" t="s">
        <v>25</v>
      </c>
      <c r="H574" s="42"/>
      <c r="I574" s="25" t="str">
        <f>IFERROR(VLOOKUP(VALUE(B574), 'คำนวณ '!A:U, 21, FALSE), "")</f>
        <v/>
      </c>
      <c r="J574" s="26" t="str">
        <f>IFERROR(VLOOKUP(VALUE(B574), 'คำนวณ '!A:V, 22, FALSE), "")</f>
        <v/>
      </c>
      <c r="K574" s="27" t="s">
        <v>19</v>
      </c>
      <c r="U574" s="26"/>
      <c r="X574" s="26"/>
    </row>
    <row r="575" ht="15.75" customHeight="1">
      <c r="A575" s="11">
        <v>512.0</v>
      </c>
      <c r="B575" s="18" t="s">
        <v>1228</v>
      </c>
      <c r="C575" s="36" t="s">
        <v>1229</v>
      </c>
      <c r="D575" s="20" t="s">
        <v>39</v>
      </c>
      <c r="E575" s="21">
        <v>1.0</v>
      </c>
      <c r="F575" s="22" t="s">
        <v>774</v>
      </c>
      <c r="G575" s="23" t="s">
        <v>25</v>
      </c>
      <c r="H575" s="24" t="s">
        <v>11</v>
      </c>
      <c r="I575" s="25">
        <f>IFERROR(VLOOKUP(VALUE(B575), 'คำนวณ '!A:U, 21, FALSE), "")</f>
        <v>1</v>
      </c>
      <c r="J575" s="26">
        <f>IFERROR(VLOOKUP(VALUE(B575), 'คำนวณ '!A:V, 22, FALSE), "")</f>
        <v>1</v>
      </c>
      <c r="K575" s="27" t="s">
        <v>19</v>
      </c>
      <c r="U575" s="26"/>
      <c r="X575" s="26"/>
    </row>
    <row r="576" ht="15.0" customHeight="1">
      <c r="A576" s="11">
        <v>512.0</v>
      </c>
      <c r="B576" s="18" t="s">
        <v>1230</v>
      </c>
      <c r="C576" s="36" t="s">
        <v>1231</v>
      </c>
      <c r="D576" s="20" t="s">
        <v>39</v>
      </c>
      <c r="E576" s="21" t="s">
        <v>777</v>
      </c>
      <c r="F576" s="22" t="s">
        <v>777</v>
      </c>
      <c r="G576" s="23" t="s">
        <v>25</v>
      </c>
      <c r="H576" s="24" t="s">
        <v>11</v>
      </c>
      <c r="I576" s="25">
        <f>IFERROR(VLOOKUP(VALUE(B576), 'คำนวณ '!A:U, 21, FALSE), "")</f>
        <v>1</v>
      </c>
      <c r="J576" s="26" t="str">
        <f>IFERROR(VLOOKUP(VALUE(B576), 'คำนวณ '!A:V, 22, FALSE), "")</f>
        <v/>
      </c>
      <c r="K576" s="27" t="s">
        <v>19</v>
      </c>
      <c r="U576" s="26"/>
      <c r="X576" s="26"/>
    </row>
    <row r="577" ht="15.0" customHeight="1">
      <c r="A577" s="11">
        <v>512.0</v>
      </c>
      <c r="B577" s="18" t="s">
        <v>1232</v>
      </c>
      <c r="C577" s="36" t="s">
        <v>1233</v>
      </c>
      <c r="D577" s="20" t="s">
        <v>39</v>
      </c>
      <c r="E577" s="21">
        <v>2.0</v>
      </c>
      <c r="F577" s="22" t="s">
        <v>83</v>
      </c>
      <c r="G577" s="23" t="s">
        <v>25</v>
      </c>
      <c r="H577" s="24" t="s">
        <v>11</v>
      </c>
      <c r="I577" s="25">
        <f>IFERROR(VLOOKUP(VALUE(B577), 'คำนวณ '!A:U, 21, FALSE), "")</f>
        <v>1</v>
      </c>
      <c r="J577" s="26">
        <f>IFERROR(VLOOKUP(VALUE(B577), 'คำนวณ '!A:V, 22, FALSE), "")</f>
        <v>1</v>
      </c>
      <c r="K577" s="27" t="s">
        <v>19</v>
      </c>
      <c r="U577" s="26"/>
      <c r="X577" s="26"/>
    </row>
    <row r="578" ht="15.0" customHeight="1">
      <c r="A578" s="11">
        <v>512.0</v>
      </c>
      <c r="B578" s="18" t="s">
        <v>1234</v>
      </c>
      <c r="C578" s="36" t="s">
        <v>1235</v>
      </c>
      <c r="D578" s="20" t="s">
        <v>39</v>
      </c>
      <c r="E578" s="21" t="s">
        <v>777</v>
      </c>
      <c r="F578" s="22" t="s">
        <v>777</v>
      </c>
      <c r="G578" s="23" t="s">
        <v>25</v>
      </c>
      <c r="H578" s="24" t="s">
        <v>11</v>
      </c>
      <c r="I578" s="25">
        <f>IFERROR(VLOOKUP(VALUE(B578), 'คำนวณ '!A:U, 21, FALSE), "")</f>
        <v>1</v>
      </c>
      <c r="J578" s="26" t="str">
        <f>IFERROR(VLOOKUP(VALUE(B578), 'คำนวณ '!A:V, 22, FALSE), "")</f>
        <v/>
      </c>
      <c r="K578" s="27" t="s">
        <v>19</v>
      </c>
      <c r="U578" s="26"/>
      <c r="X578" s="26"/>
    </row>
    <row r="579" ht="15.0" customHeight="1">
      <c r="A579" s="11">
        <v>521.0</v>
      </c>
      <c r="B579" s="18" t="s">
        <v>1236</v>
      </c>
      <c r="C579" s="36" t="s">
        <v>1237</v>
      </c>
      <c r="D579" s="20" t="s">
        <v>73</v>
      </c>
      <c r="E579" s="21" t="s">
        <v>777</v>
      </c>
      <c r="F579" s="22" t="s">
        <v>777</v>
      </c>
      <c r="G579" s="23" t="s">
        <v>25</v>
      </c>
      <c r="H579" s="24" t="s">
        <v>11</v>
      </c>
      <c r="I579" s="25">
        <f>IFERROR(VLOOKUP(VALUE(B579), 'คำนวณ '!A:U, 21, FALSE), "")</f>
        <v>1</v>
      </c>
      <c r="J579" s="26">
        <f>IFERROR(VLOOKUP(VALUE(B579), 'คำนวณ '!A:V, 22, FALSE), "")</f>
        <v>1</v>
      </c>
      <c r="K579" s="27" t="s">
        <v>19</v>
      </c>
      <c r="U579" s="26"/>
      <c r="X579" s="26"/>
    </row>
    <row r="580" ht="15.0" customHeight="1">
      <c r="A580" s="11">
        <v>521.0</v>
      </c>
      <c r="B580" s="18" t="s">
        <v>1238</v>
      </c>
      <c r="C580" s="36" t="s">
        <v>1239</v>
      </c>
      <c r="D580" s="64" t="s">
        <v>56</v>
      </c>
      <c r="E580" s="21">
        <v>4.0</v>
      </c>
      <c r="F580" s="22" t="s">
        <v>38</v>
      </c>
      <c r="G580" s="23" t="s">
        <v>25</v>
      </c>
      <c r="H580" s="24" t="s">
        <v>11</v>
      </c>
      <c r="I580" s="25">
        <f>IFERROR(VLOOKUP(VALUE(B580), 'คำนวณ '!A:U, 21, FALSE), "")</f>
        <v>1</v>
      </c>
      <c r="J580" s="26">
        <f>IFERROR(VLOOKUP(VALUE(B580), 'คำนวณ '!A:V, 22, FALSE), "")</f>
        <v>1</v>
      </c>
      <c r="K580" s="27" t="s">
        <v>19</v>
      </c>
      <c r="U580" s="26"/>
      <c r="X580" s="26"/>
    </row>
    <row r="581" ht="15.0" customHeight="1">
      <c r="A581" s="11">
        <v>521.0</v>
      </c>
      <c r="B581" s="18" t="s">
        <v>1240</v>
      </c>
      <c r="C581" s="36" t="s">
        <v>1241</v>
      </c>
      <c r="D581" s="20" t="s">
        <v>73</v>
      </c>
      <c r="E581" s="21">
        <v>4.0</v>
      </c>
      <c r="F581" s="22" t="s">
        <v>38</v>
      </c>
      <c r="G581" s="23" t="s">
        <v>25</v>
      </c>
      <c r="H581" s="24" t="s">
        <v>11</v>
      </c>
      <c r="I581" s="25">
        <f>IFERROR(VLOOKUP(VALUE(B581), 'คำนวณ '!A:U, 21, FALSE), "")</f>
        <v>1</v>
      </c>
      <c r="J581" s="26">
        <f>IFERROR(VLOOKUP(VALUE(B581), 'คำนวณ '!A:V, 22, FALSE), "")</f>
        <v>1</v>
      </c>
      <c r="K581" s="27" t="s">
        <v>19</v>
      </c>
      <c r="U581" s="26"/>
      <c r="X581" s="26"/>
    </row>
    <row r="582" ht="15.0" customHeight="1">
      <c r="A582" s="11">
        <v>521.0</v>
      </c>
      <c r="B582" s="18" t="s">
        <v>1242</v>
      </c>
      <c r="C582" s="36" t="s">
        <v>1243</v>
      </c>
      <c r="D582" s="20" t="s">
        <v>73</v>
      </c>
      <c r="E582" s="21" t="s">
        <v>777</v>
      </c>
      <c r="F582" s="22" t="s">
        <v>777</v>
      </c>
      <c r="G582" s="23" t="s">
        <v>25</v>
      </c>
      <c r="H582" s="24" t="s">
        <v>11</v>
      </c>
      <c r="I582" s="25">
        <f>IFERROR(VLOOKUP(VALUE(B582), 'คำนวณ '!A:U, 21, FALSE), "")</f>
        <v>1</v>
      </c>
      <c r="J582" s="26">
        <f>IFERROR(VLOOKUP(VALUE(B582), 'คำนวณ '!A:V, 22, FALSE), "")</f>
        <v>1</v>
      </c>
      <c r="K582" s="27" t="s">
        <v>19</v>
      </c>
      <c r="U582" s="26"/>
      <c r="X582" s="26"/>
    </row>
    <row r="583" ht="15.0" customHeight="1">
      <c r="A583" s="11">
        <v>521.0</v>
      </c>
      <c r="B583" s="18" t="s">
        <v>1244</v>
      </c>
      <c r="C583" s="36" t="s">
        <v>1245</v>
      </c>
      <c r="D583" s="39"/>
      <c r="E583" s="40"/>
      <c r="F583" s="41"/>
      <c r="G583" s="23" t="s">
        <v>25</v>
      </c>
      <c r="H583" s="42"/>
      <c r="I583" s="25" t="str">
        <f>IFERROR(VLOOKUP(VALUE(B583), 'คำนวณ '!A:U, 21, FALSE), "")</f>
        <v/>
      </c>
      <c r="J583" s="26" t="str">
        <f>IFERROR(VLOOKUP(VALUE(B583), 'คำนวณ '!A:V, 22, FALSE), "")</f>
        <v/>
      </c>
      <c r="K583" s="27" t="s">
        <v>19</v>
      </c>
      <c r="U583" s="26"/>
      <c r="X583" s="26"/>
    </row>
    <row r="584" ht="15.0" customHeight="1">
      <c r="A584" s="11">
        <v>521.0</v>
      </c>
      <c r="B584" s="18" t="s">
        <v>1246</v>
      </c>
      <c r="C584" s="36" t="s">
        <v>1247</v>
      </c>
      <c r="D584" s="20" t="s">
        <v>73</v>
      </c>
      <c r="E584" s="21">
        <v>4.0</v>
      </c>
      <c r="F584" s="22" t="s">
        <v>38</v>
      </c>
      <c r="G584" s="23" t="s">
        <v>25</v>
      </c>
      <c r="H584" s="24" t="s">
        <v>11</v>
      </c>
      <c r="I584" s="25">
        <f>IFERROR(VLOOKUP(VALUE(B584), 'คำนวณ '!A:U, 21, FALSE), "")</f>
        <v>1</v>
      </c>
      <c r="J584" s="26">
        <f>IFERROR(VLOOKUP(VALUE(B584), 'คำนวณ '!A:V, 22, FALSE), "")</f>
        <v>1</v>
      </c>
      <c r="K584" s="27" t="s">
        <v>19</v>
      </c>
      <c r="U584" s="26"/>
      <c r="X584" s="26"/>
    </row>
    <row r="585" ht="15.0" customHeight="1">
      <c r="A585" s="11">
        <v>521.0</v>
      </c>
      <c r="B585" s="18" t="s">
        <v>1248</v>
      </c>
      <c r="C585" s="36" t="s">
        <v>1249</v>
      </c>
      <c r="D585" s="20" t="s">
        <v>73</v>
      </c>
      <c r="E585" s="21">
        <v>4.0</v>
      </c>
      <c r="F585" s="22" t="s">
        <v>38</v>
      </c>
      <c r="G585" s="23" t="s">
        <v>25</v>
      </c>
      <c r="H585" s="24" t="s">
        <v>11</v>
      </c>
      <c r="I585" s="25">
        <f>IFERROR(VLOOKUP(VALUE(B585), 'คำนวณ '!A:U, 21, FALSE), "")</f>
        <v>1</v>
      </c>
      <c r="J585" s="26">
        <f>IFERROR(VLOOKUP(VALUE(B585), 'คำนวณ '!A:V, 22, FALSE), "")</f>
        <v>1</v>
      </c>
      <c r="K585" s="27" t="s">
        <v>19</v>
      </c>
      <c r="U585" s="26"/>
      <c r="X585" s="26"/>
    </row>
    <row r="586" ht="15.0" customHeight="1">
      <c r="A586" s="11">
        <v>521.0</v>
      </c>
      <c r="B586" s="18" t="s">
        <v>1250</v>
      </c>
      <c r="C586" s="36" t="s">
        <v>1251</v>
      </c>
      <c r="D586" s="39"/>
      <c r="E586" s="40"/>
      <c r="F586" s="41"/>
      <c r="G586" s="23" t="s">
        <v>25</v>
      </c>
      <c r="H586" s="42"/>
      <c r="I586" s="25" t="str">
        <f>IFERROR(VLOOKUP(VALUE(B586), 'คำนวณ '!A:U, 21, FALSE), "")</f>
        <v/>
      </c>
      <c r="J586" s="26" t="str">
        <f>IFERROR(VLOOKUP(VALUE(B586), 'คำนวณ '!A:V, 22, FALSE), "")</f>
        <v/>
      </c>
      <c r="K586" s="27" t="s">
        <v>19</v>
      </c>
      <c r="U586" s="26"/>
      <c r="X586" s="26"/>
    </row>
    <row r="587" ht="15.0" customHeight="1">
      <c r="A587" s="11">
        <v>521.0</v>
      </c>
      <c r="B587" s="18" t="s">
        <v>1252</v>
      </c>
      <c r="C587" s="36" t="s">
        <v>1253</v>
      </c>
      <c r="D587" s="20" t="s">
        <v>73</v>
      </c>
      <c r="E587" s="21">
        <v>4.0</v>
      </c>
      <c r="F587" s="22" t="s">
        <v>38</v>
      </c>
      <c r="G587" s="23" t="s">
        <v>25</v>
      </c>
      <c r="H587" s="24" t="s">
        <v>11</v>
      </c>
      <c r="I587" s="25">
        <f>IFERROR(VLOOKUP(VALUE(B587), 'คำนวณ '!A:U, 21, FALSE), "")</f>
        <v>1</v>
      </c>
      <c r="J587" s="26">
        <f>IFERROR(VLOOKUP(VALUE(B587), 'คำนวณ '!A:V, 22, FALSE), "")</f>
        <v>1</v>
      </c>
      <c r="K587" s="27" t="s">
        <v>19</v>
      </c>
      <c r="U587" s="26"/>
      <c r="X587" s="26"/>
    </row>
    <row r="588" ht="15.0" customHeight="1">
      <c r="A588" s="11">
        <v>521.0</v>
      </c>
      <c r="B588" s="18" t="s">
        <v>1254</v>
      </c>
      <c r="C588" s="36" t="s">
        <v>1255</v>
      </c>
      <c r="D588" s="20" t="s">
        <v>73</v>
      </c>
      <c r="E588" s="21">
        <v>4.0</v>
      </c>
      <c r="F588" s="22" t="s">
        <v>38</v>
      </c>
      <c r="G588" s="23" t="s">
        <v>25</v>
      </c>
      <c r="H588" s="24" t="s">
        <v>11</v>
      </c>
      <c r="I588" s="25">
        <f>IFERROR(VLOOKUP(VALUE(B588), 'คำนวณ '!A:U, 21, FALSE), "")</f>
        <v>1</v>
      </c>
      <c r="J588" s="26">
        <f>IFERROR(VLOOKUP(VALUE(B588), 'คำนวณ '!A:V, 22, FALSE), "")</f>
        <v>1</v>
      </c>
      <c r="K588" s="27" t="s">
        <v>19</v>
      </c>
      <c r="U588" s="26"/>
      <c r="X588" s="26"/>
    </row>
    <row r="589" ht="15.0" customHeight="1">
      <c r="A589" s="11">
        <v>522.0</v>
      </c>
      <c r="B589" s="18" t="s">
        <v>1256</v>
      </c>
      <c r="C589" s="36" t="s">
        <v>1257</v>
      </c>
      <c r="D589" s="39"/>
      <c r="E589" s="60"/>
      <c r="F589" s="41"/>
      <c r="G589" s="23" t="s">
        <v>25</v>
      </c>
      <c r="H589" s="65"/>
      <c r="I589" s="25" t="str">
        <f>IFERROR(VLOOKUP(VALUE(B589), 'คำนวณ '!A:U, 21, FALSE), "")</f>
        <v/>
      </c>
      <c r="J589" s="26" t="str">
        <f>IFERROR(VLOOKUP(VALUE(B589), 'คำนวณ '!A:V, 22, FALSE), "")</f>
        <v/>
      </c>
      <c r="K589" s="27" t="s">
        <v>19</v>
      </c>
      <c r="U589" s="26"/>
      <c r="X589" s="26"/>
    </row>
    <row r="590" ht="15.0" customHeight="1">
      <c r="A590" s="11">
        <v>522.0</v>
      </c>
      <c r="B590" s="18" t="s">
        <v>1258</v>
      </c>
      <c r="C590" s="36" t="s">
        <v>1259</v>
      </c>
      <c r="D590" s="20" t="s">
        <v>80</v>
      </c>
      <c r="E590" s="21" t="s">
        <v>777</v>
      </c>
      <c r="F590" s="22" t="s">
        <v>777</v>
      </c>
      <c r="G590" s="23" t="s">
        <v>25</v>
      </c>
      <c r="H590" s="24" t="s">
        <v>11</v>
      </c>
      <c r="I590" s="25">
        <f>IFERROR(VLOOKUP(VALUE(B590), 'คำนวณ '!A:U, 21, FALSE), "")</f>
        <v>1</v>
      </c>
      <c r="J590" s="26">
        <f>IFERROR(VLOOKUP(VALUE(B590), 'คำนวณ '!A:V, 22, FALSE), "")</f>
        <v>1</v>
      </c>
      <c r="K590" s="27" t="s">
        <v>19</v>
      </c>
      <c r="U590" s="26"/>
      <c r="X590" s="26"/>
    </row>
    <row r="591" ht="15.0" customHeight="1">
      <c r="A591" s="11">
        <v>522.0</v>
      </c>
      <c r="B591" s="18" t="s">
        <v>1260</v>
      </c>
      <c r="C591" s="36" t="s">
        <v>1261</v>
      </c>
      <c r="D591" s="20" t="s">
        <v>80</v>
      </c>
      <c r="E591" s="21" t="s">
        <v>777</v>
      </c>
      <c r="F591" s="22" t="s">
        <v>777</v>
      </c>
      <c r="G591" s="23" t="s">
        <v>25</v>
      </c>
      <c r="H591" s="24" t="s">
        <v>11</v>
      </c>
      <c r="I591" s="25">
        <f>IFERROR(VLOOKUP(VALUE(B591), 'คำนวณ '!A:U, 21, FALSE), "")</f>
        <v>1</v>
      </c>
      <c r="J591" s="26">
        <f>IFERROR(VLOOKUP(VALUE(B591), 'คำนวณ '!A:V, 22, FALSE), "")</f>
        <v>1</v>
      </c>
      <c r="K591" s="27" t="s">
        <v>19</v>
      </c>
      <c r="U591" s="26"/>
      <c r="X591" s="26"/>
    </row>
    <row r="592" ht="15.0" customHeight="1">
      <c r="A592" s="11">
        <v>522.0</v>
      </c>
      <c r="B592" s="18" t="s">
        <v>1262</v>
      </c>
      <c r="C592" s="36" t="s">
        <v>1263</v>
      </c>
      <c r="D592" s="20" t="s">
        <v>80</v>
      </c>
      <c r="E592" s="21">
        <v>4.0</v>
      </c>
      <c r="F592" s="22" t="s">
        <v>38</v>
      </c>
      <c r="G592" s="23" t="s">
        <v>25</v>
      </c>
      <c r="H592" s="24" t="s">
        <v>11</v>
      </c>
      <c r="I592" s="25">
        <f>IFERROR(VLOOKUP(VALUE(B592), 'คำนวณ '!A:U, 21, FALSE), "")</f>
        <v>1</v>
      </c>
      <c r="J592" s="26">
        <f>IFERROR(VLOOKUP(VALUE(B592), 'คำนวณ '!A:V, 22, FALSE), "")</f>
        <v>1</v>
      </c>
      <c r="K592" s="27" t="s">
        <v>19</v>
      </c>
      <c r="U592" s="26"/>
      <c r="X592" s="26"/>
    </row>
    <row r="593" ht="15.0" customHeight="1">
      <c r="A593" s="11">
        <v>522.0</v>
      </c>
      <c r="B593" s="18" t="s">
        <v>1264</v>
      </c>
      <c r="C593" s="36" t="s">
        <v>1265</v>
      </c>
      <c r="D593" s="20" t="s">
        <v>80</v>
      </c>
      <c r="E593" s="21" t="s">
        <v>777</v>
      </c>
      <c r="F593" s="22" t="s">
        <v>777</v>
      </c>
      <c r="G593" s="23" t="s">
        <v>25</v>
      </c>
      <c r="H593" s="24" t="s">
        <v>11</v>
      </c>
      <c r="I593" s="25">
        <f>IFERROR(VLOOKUP(VALUE(B593), 'คำนวณ '!A:U, 21, FALSE), "")</f>
        <v>1</v>
      </c>
      <c r="J593" s="26">
        <f>IFERROR(VLOOKUP(VALUE(B593), 'คำนวณ '!A:V, 22, FALSE), "")</f>
        <v>1</v>
      </c>
      <c r="K593" s="27" t="s">
        <v>19</v>
      </c>
      <c r="U593" s="26"/>
      <c r="X593" s="26"/>
    </row>
    <row r="594" ht="15.0" customHeight="1">
      <c r="A594" s="11">
        <v>522.0</v>
      </c>
      <c r="B594" s="18" t="s">
        <v>1266</v>
      </c>
      <c r="C594" s="36" t="s">
        <v>1267</v>
      </c>
      <c r="D594" s="20" t="s">
        <v>80</v>
      </c>
      <c r="E594" s="21" t="s">
        <v>777</v>
      </c>
      <c r="F594" s="22" t="s">
        <v>777</v>
      </c>
      <c r="G594" s="23" t="s">
        <v>25</v>
      </c>
      <c r="H594" s="24" t="s">
        <v>11</v>
      </c>
      <c r="I594" s="25">
        <f>IFERROR(VLOOKUP(VALUE(B594), 'คำนวณ '!A:U, 21, FALSE), "")</f>
        <v>1</v>
      </c>
      <c r="J594" s="26">
        <f>IFERROR(VLOOKUP(VALUE(B594), 'คำนวณ '!A:V, 22, FALSE), "")</f>
        <v>1</v>
      </c>
      <c r="K594" s="27" t="s">
        <v>19</v>
      </c>
      <c r="U594" s="26"/>
      <c r="X594" s="26"/>
    </row>
    <row r="595" ht="15.0" customHeight="1">
      <c r="A595" s="11">
        <v>522.0</v>
      </c>
      <c r="B595" s="18" t="s">
        <v>1268</v>
      </c>
      <c r="C595" s="36" t="s">
        <v>1269</v>
      </c>
      <c r="D595" s="20" t="s">
        <v>80</v>
      </c>
      <c r="E595" s="21">
        <v>1.0</v>
      </c>
      <c r="F595" s="22" t="s">
        <v>774</v>
      </c>
      <c r="G595" s="23" t="s">
        <v>25</v>
      </c>
      <c r="H595" s="24" t="s">
        <v>11</v>
      </c>
      <c r="I595" s="25" t="str">
        <f>IFERROR(VLOOKUP(VALUE(B595), 'คำนวณ '!A:U, 21, FALSE), "")</f>
        <v/>
      </c>
      <c r="J595" s="26" t="str">
        <f>IFERROR(VLOOKUP(VALUE(B595), 'คำนวณ '!A:V, 22, FALSE), "")</f>
        <v/>
      </c>
      <c r="K595" s="27" t="s">
        <v>19</v>
      </c>
      <c r="U595" s="26"/>
      <c r="X595" s="26"/>
    </row>
    <row r="596" ht="15.75" customHeight="1">
      <c r="A596" s="11">
        <v>522.0</v>
      </c>
      <c r="B596" s="18" t="s">
        <v>1270</v>
      </c>
      <c r="C596" s="36" t="s">
        <v>1271</v>
      </c>
      <c r="D596" s="20" t="s">
        <v>80</v>
      </c>
      <c r="E596" s="21">
        <v>1.0</v>
      </c>
      <c r="F596" s="22" t="s">
        <v>774</v>
      </c>
      <c r="G596" s="23" t="s">
        <v>18</v>
      </c>
      <c r="H596" s="24" t="s">
        <v>12</v>
      </c>
      <c r="I596" s="25">
        <f>IFERROR(VLOOKUP(VALUE(B596), 'คำนวณ '!A:U, 21, FALSE), "")</f>
        <v>1</v>
      </c>
      <c r="J596" s="26">
        <f>IFERROR(VLOOKUP(VALUE(B596), 'คำนวณ '!A:V, 22, FALSE), "")</f>
        <v>1</v>
      </c>
      <c r="K596" s="27" t="s">
        <v>19</v>
      </c>
      <c r="U596" s="26"/>
      <c r="X596" s="26"/>
    </row>
    <row r="597" ht="15.0" customHeight="1">
      <c r="A597" s="11">
        <v>522.0</v>
      </c>
      <c r="B597" s="18" t="s">
        <v>1272</v>
      </c>
      <c r="C597" s="36" t="s">
        <v>1273</v>
      </c>
      <c r="D597" s="20" t="s">
        <v>80</v>
      </c>
      <c r="E597" s="21" t="s">
        <v>777</v>
      </c>
      <c r="F597" s="22" t="s">
        <v>777</v>
      </c>
      <c r="G597" s="23" t="s">
        <v>25</v>
      </c>
      <c r="H597" s="24" t="s">
        <v>11</v>
      </c>
      <c r="I597" s="25">
        <f>IFERROR(VLOOKUP(VALUE(B597), 'คำนวณ '!A:U, 21, FALSE), "")</f>
        <v>1</v>
      </c>
      <c r="J597" s="26">
        <f>IFERROR(VLOOKUP(VALUE(B597), 'คำนวณ '!A:V, 22, FALSE), "")</f>
        <v>1</v>
      </c>
      <c r="K597" s="27" t="s">
        <v>19</v>
      </c>
      <c r="U597" s="26"/>
      <c r="X597" s="26"/>
    </row>
    <row r="598" ht="15.0" customHeight="1">
      <c r="A598" s="11">
        <v>522.0</v>
      </c>
      <c r="B598" s="18" t="s">
        <v>1274</v>
      </c>
      <c r="C598" s="36" t="s">
        <v>1275</v>
      </c>
      <c r="D598" s="20" t="s">
        <v>80</v>
      </c>
      <c r="E598" s="21" t="s">
        <v>777</v>
      </c>
      <c r="F598" s="22" t="s">
        <v>777</v>
      </c>
      <c r="G598" s="23" t="s">
        <v>25</v>
      </c>
      <c r="H598" s="24" t="s">
        <v>11</v>
      </c>
      <c r="I598" s="25">
        <f>IFERROR(VLOOKUP(VALUE(B598), 'คำนวณ '!A:U, 21, FALSE), "")</f>
        <v>1</v>
      </c>
      <c r="J598" s="26">
        <f>IFERROR(VLOOKUP(VALUE(B598), 'คำนวณ '!A:V, 22, FALSE), "")</f>
        <v>1</v>
      </c>
      <c r="K598" s="27" t="s">
        <v>19</v>
      </c>
      <c r="U598" s="26"/>
      <c r="X598" s="26"/>
    </row>
    <row r="599" ht="15.0" customHeight="1">
      <c r="A599" s="11">
        <v>522.0</v>
      </c>
      <c r="B599" s="18" t="s">
        <v>1276</v>
      </c>
      <c r="C599" s="36" t="s">
        <v>1277</v>
      </c>
      <c r="D599" s="39"/>
      <c r="E599" s="40"/>
      <c r="F599" s="41"/>
      <c r="G599" s="23" t="s">
        <v>25</v>
      </c>
      <c r="H599" s="42"/>
      <c r="I599" s="25" t="str">
        <f>IFERROR(VLOOKUP(VALUE(B599), 'คำนวณ '!A:U, 21, FALSE), "")</f>
        <v/>
      </c>
      <c r="J599" s="26" t="str">
        <f>IFERROR(VLOOKUP(VALUE(B599), 'คำนวณ '!A:V, 22, FALSE), "")</f>
        <v/>
      </c>
      <c r="K599" s="27" t="s">
        <v>19</v>
      </c>
      <c r="U599" s="26"/>
      <c r="X599" s="26"/>
    </row>
    <row r="600" ht="15.0" customHeight="1">
      <c r="A600" s="11">
        <v>522.0</v>
      </c>
      <c r="B600" s="18" t="s">
        <v>1278</v>
      </c>
      <c r="C600" s="36" t="s">
        <v>1279</v>
      </c>
      <c r="D600" s="20" t="s">
        <v>80</v>
      </c>
      <c r="E600" s="21" t="s">
        <v>777</v>
      </c>
      <c r="F600" s="22" t="s">
        <v>777</v>
      </c>
      <c r="G600" s="23" t="s">
        <v>25</v>
      </c>
      <c r="H600" s="24" t="s">
        <v>11</v>
      </c>
      <c r="I600" s="25">
        <f>IFERROR(VLOOKUP(VALUE(B600), 'คำนวณ '!A:U, 21, FALSE), "")</f>
        <v>1</v>
      </c>
      <c r="J600" s="26" t="str">
        <f>IFERROR(VLOOKUP(VALUE(B600), 'คำนวณ '!A:V, 22, FALSE), "")</f>
        <v/>
      </c>
      <c r="K600" s="27" t="s">
        <v>19</v>
      </c>
      <c r="U600" s="26"/>
      <c r="X600" s="26"/>
    </row>
    <row r="601" ht="15.0" customHeight="1">
      <c r="A601" s="11">
        <v>523.0</v>
      </c>
      <c r="B601" s="18" t="s">
        <v>1280</v>
      </c>
      <c r="C601" s="36" t="s">
        <v>1281</v>
      </c>
      <c r="D601" s="20" t="s">
        <v>32</v>
      </c>
      <c r="E601" s="21">
        <v>2.0</v>
      </c>
      <c r="F601" s="22" t="s">
        <v>83</v>
      </c>
      <c r="G601" s="23" t="s">
        <v>25</v>
      </c>
      <c r="H601" s="24" t="s">
        <v>11</v>
      </c>
      <c r="I601" s="25">
        <f>IFERROR(VLOOKUP(VALUE(B601), 'คำนวณ '!A:U, 21, FALSE), "")</f>
        <v>1</v>
      </c>
      <c r="J601" s="26">
        <f>IFERROR(VLOOKUP(VALUE(B601), 'คำนวณ '!A:V, 22, FALSE), "")</f>
        <v>1</v>
      </c>
      <c r="K601" s="27" t="s">
        <v>19</v>
      </c>
      <c r="U601" s="26"/>
      <c r="X601" s="26"/>
    </row>
    <row r="602" ht="15.0" customHeight="1">
      <c r="A602" s="11">
        <v>523.0</v>
      </c>
      <c r="B602" s="18" t="s">
        <v>1282</v>
      </c>
      <c r="C602" s="36" t="s">
        <v>1283</v>
      </c>
      <c r="D602" s="20" t="s">
        <v>32</v>
      </c>
      <c r="E602" s="21">
        <v>2.0</v>
      </c>
      <c r="F602" s="22" t="s">
        <v>83</v>
      </c>
      <c r="G602" s="23" t="s">
        <v>25</v>
      </c>
      <c r="H602" s="24" t="s">
        <v>11</v>
      </c>
      <c r="I602" s="25">
        <f>IFERROR(VLOOKUP(VALUE(B602), 'คำนวณ '!A:U, 21, FALSE), "")</f>
        <v>1</v>
      </c>
      <c r="J602" s="26">
        <f>IFERROR(VLOOKUP(VALUE(B602), 'คำนวณ '!A:V, 22, FALSE), "")</f>
        <v>1</v>
      </c>
      <c r="K602" s="27" t="s">
        <v>19</v>
      </c>
      <c r="U602" s="26"/>
      <c r="X602" s="26"/>
    </row>
    <row r="603" ht="15.0" customHeight="1">
      <c r="A603" s="11">
        <v>523.0</v>
      </c>
      <c r="B603" s="18" t="s">
        <v>1284</v>
      </c>
      <c r="C603" s="36" t="s">
        <v>1285</v>
      </c>
      <c r="D603" s="39"/>
      <c r="E603" s="40"/>
      <c r="F603" s="41"/>
      <c r="G603" s="23" t="s">
        <v>25</v>
      </c>
      <c r="H603" s="42"/>
      <c r="I603" s="25" t="str">
        <f>IFERROR(VLOOKUP(VALUE(B603), 'คำนวณ '!A:U, 21, FALSE), "")</f>
        <v/>
      </c>
      <c r="J603" s="26" t="str">
        <f>IFERROR(VLOOKUP(VALUE(B603), 'คำนวณ '!A:V, 22, FALSE), "")</f>
        <v/>
      </c>
      <c r="K603" s="27" t="s">
        <v>19</v>
      </c>
      <c r="U603" s="26"/>
      <c r="X603" s="26"/>
    </row>
    <row r="604" ht="15.0" customHeight="1">
      <c r="A604" s="11">
        <v>523.0</v>
      </c>
      <c r="B604" s="18" t="s">
        <v>1286</v>
      </c>
      <c r="C604" s="36" t="s">
        <v>1287</v>
      </c>
      <c r="D604" s="20" t="s">
        <v>32</v>
      </c>
      <c r="E604" s="21">
        <v>2.0</v>
      </c>
      <c r="F604" s="22" t="s">
        <v>83</v>
      </c>
      <c r="G604" s="23" t="s">
        <v>25</v>
      </c>
      <c r="H604" s="24" t="s">
        <v>11</v>
      </c>
      <c r="I604" s="25">
        <f>IFERROR(VLOOKUP(VALUE(B604), 'คำนวณ '!A:U, 21, FALSE), "")</f>
        <v>1</v>
      </c>
      <c r="J604" s="26">
        <f>IFERROR(VLOOKUP(VALUE(B604), 'คำนวณ '!A:V, 22, FALSE), "")</f>
        <v>1</v>
      </c>
      <c r="K604" s="27" t="s">
        <v>19</v>
      </c>
      <c r="U604" s="26"/>
      <c r="X604" s="26"/>
    </row>
    <row r="605" ht="15.0" customHeight="1">
      <c r="A605" s="11">
        <v>523.0</v>
      </c>
      <c r="B605" s="18" t="s">
        <v>1288</v>
      </c>
      <c r="C605" s="36" t="s">
        <v>1289</v>
      </c>
      <c r="D605" s="20" t="s">
        <v>69</v>
      </c>
      <c r="E605" s="21">
        <v>2.0</v>
      </c>
      <c r="F605" s="22" t="s">
        <v>83</v>
      </c>
      <c r="G605" s="23" t="s">
        <v>25</v>
      </c>
      <c r="H605" s="24" t="s">
        <v>11</v>
      </c>
      <c r="I605" s="25">
        <f>IFERROR(VLOOKUP(VALUE(B605), 'คำนวณ '!A:U, 21, FALSE), "")</f>
        <v>1</v>
      </c>
      <c r="J605" s="26" t="str">
        <f>IFERROR(VLOOKUP(VALUE(B605), 'คำนวณ '!A:V, 22, FALSE), "")</f>
        <v/>
      </c>
      <c r="K605" s="27" t="s">
        <v>19</v>
      </c>
      <c r="U605" s="26"/>
      <c r="X605" s="26"/>
    </row>
    <row r="606" ht="15.0" customHeight="1">
      <c r="A606" s="11">
        <v>523.0</v>
      </c>
      <c r="B606" s="18" t="s">
        <v>1290</v>
      </c>
      <c r="C606" s="36" t="s">
        <v>1291</v>
      </c>
      <c r="D606" s="39"/>
      <c r="E606" s="40"/>
      <c r="F606" s="41"/>
      <c r="G606" s="23" t="s">
        <v>25</v>
      </c>
      <c r="H606" s="42"/>
      <c r="I606" s="25" t="str">
        <f>IFERROR(VLOOKUP(VALUE(B606), 'คำนวณ '!A:U, 21, FALSE), "")</f>
        <v/>
      </c>
      <c r="J606" s="26" t="str">
        <f>IFERROR(VLOOKUP(VALUE(B606), 'คำนวณ '!A:V, 22, FALSE), "")</f>
        <v/>
      </c>
      <c r="K606" s="27" t="s">
        <v>19</v>
      </c>
      <c r="U606" s="26"/>
      <c r="X606" s="26"/>
    </row>
    <row r="607" ht="15.0" customHeight="1">
      <c r="A607" s="11">
        <v>523.0</v>
      </c>
      <c r="B607" s="18" t="s">
        <v>1292</v>
      </c>
      <c r="C607" s="36" t="s">
        <v>1293</v>
      </c>
      <c r="D607" s="20" t="s">
        <v>87</v>
      </c>
      <c r="E607" s="21">
        <v>2.0</v>
      </c>
      <c r="F607" s="22" t="s">
        <v>83</v>
      </c>
      <c r="G607" s="23" t="s">
        <v>25</v>
      </c>
      <c r="H607" s="24" t="s">
        <v>11</v>
      </c>
      <c r="I607" s="25">
        <f>IFERROR(VLOOKUP(VALUE(B607), 'คำนวณ '!A:U, 21, FALSE), "")</f>
        <v>1</v>
      </c>
      <c r="J607" s="26">
        <f>IFERROR(VLOOKUP(VALUE(B607), 'คำนวณ '!A:V, 22, FALSE), "")</f>
        <v>1</v>
      </c>
      <c r="K607" s="27" t="s">
        <v>19</v>
      </c>
      <c r="U607" s="26"/>
      <c r="X607" s="26"/>
    </row>
    <row r="608" ht="15.0" customHeight="1">
      <c r="A608" s="11">
        <v>523.0</v>
      </c>
      <c r="B608" s="18" t="s">
        <v>1294</v>
      </c>
      <c r="C608" s="36" t="s">
        <v>1295</v>
      </c>
      <c r="D608" s="20" t="s">
        <v>39</v>
      </c>
      <c r="E608" s="21" t="s">
        <v>777</v>
      </c>
      <c r="F608" s="22" t="s">
        <v>777</v>
      </c>
      <c r="G608" s="23" t="s">
        <v>25</v>
      </c>
      <c r="H608" s="24" t="s">
        <v>11</v>
      </c>
      <c r="I608" s="25">
        <f>IFERROR(VLOOKUP(VALUE(B608), 'คำนวณ '!A:U, 21, FALSE), "")</f>
        <v>1</v>
      </c>
      <c r="J608" s="26" t="str">
        <f>IFERROR(VLOOKUP(VALUE(B608), 'คำนวณ '!A:V, 22, FALSE), "")</f>
        <v/>
      </c>
      <c r="K608" s="27" t="s">
        <v>19</v>
      </c>
      <c r="U608" s="26"/>
      <c r="X608" s="26"/>
    </row>
    <row r="609" ht="15.0" customHeight="1">
      <c r="A609" s="11">
        <v>523.0</v>
      </c>
      <c r="B609" s="18" t="s">
        <v>1296</v>
      </c>
      <c r="C609" s="36" t="s">
        <v>1297</v>
      </c>
      <c r="D609" s="20" t="s">
        <v>87</v>
      </c>
      <c r="E609" s="21">
        <v>2.0</v>
      </c>
      <c r="F609" s="22" t="s">
        <v>83</v>
      </c>
      <c r="G609" s="23" t="s">
        <v>25</v>
      </c>
      <c r="H609" s="24" t="s">
        <v>11</v>
      </c>
      <c r="I609" s="25">
        <f>IFERROR(VLOOKUP(VALUE(B609), 'คำนวณ '!A:U, 21, FALSE), "")</f>
        <v>1</v>
      </c>
      <c r="J609" s="26">
        <f>IFERROR(VLOOKUP(VALUE(B609), 'คำนวณ '!A:V, 22, FALSE), "")</f>
        <v>1</v>
      </c>
      <c r="K609" s="27" t="s">
        <v>19</v>
      </c>
      <c r="U609" s="26"/>
      <c r="X609" s="26"/>
    </row>
    <row r="610" ht="15.0" customHeight="1">
      <c r="A610" s="11">
        <v>523.0</v>
      </c>
      <c r="B610" s="18" t="s">
        <v>1298</v>
      </c>
      <c r="C610" s="36" t="s">
        <v>1299</v>
      </c>
      <c r="D610" s="39"/>
      <c r="E610" s="40"/>
      <c r="F610" s="41"/>
      <c r="G610" s="23" t="s">
        <v>25</v>
      </c>
      <c r="H610" s="42"/>
      <c r="I610" s="25" t="str">
        <f>IFERROR(VLOOKUP(VALUE(B610), 'คำนวณ '!A:U, 21, FALSE), "")</f>
        <v/>
      </c>
      <c r="J610" s="26" t="str">
        <f>IFERROR(VLOOKUP(VALUE(B610), 'คำนวณ '!A:V, 22, FALSE), "")</f>
        <v/>
      </c>
      <c r="K610" s="27" t="s">
        <v>19</v>
      </c>
      <c r="U610" s="26"/>
      <c r="X610" s="26"/>
    </row>
    <row r="611" ht="15.0" customHeight="1">
      <c r="A611" s="11">
        <v>531.0</v>
      </c>
      <c r="B611" s="18" t="s">
        <v>1300</v>
      </c>
      <c r="C611" s="36" t="s">
        <v>1301</v>
      </c>
      <c r="D611" s="20" t="s">
        <v>69</v>
      </c>
      <c r="E611" s="21">
        <v>4.0</v>
      </c>
      <c r="F611" s="22" t="s">
        <v>38</v>
      </c>
      <c r="G611" s="23" t="s">
        <v>25</v>
      </c>
      <c r="H611" s="24" t="s">
        <v>11</v>
      </c>
      <c r="I611" s="25">
        <f>IFERROR(VLOOKUP(VALUE(B611), 'คำนวณ '!A:U, 21, FALSE), "")</f>
        <v>1</v>
      </c>
      <c r="J611" s="26">
        <f>IFERROR(VLOOKUP(VALUE(B611), 'คำนวณ '!A:V, 22, FALSE), "")</f>
        <v>1</v>
      </c>
      <c r="K611" s="27" t="s">
        <v>19</v>
      </c>
      <c r="U611" s="26"/>
      <c r="X611" s="26"/>
    </row>
    <row r="612" ht="15.0" customHeight="1">
      <c r="A612" s="11">
        <v>531.0</v>
      </c>
      <c r="B612" s="18" t="s">
        <v>1302</v>
      </c>
      <c r="C612" s="36" t="s">
        <v>1303</v>
      </c>
      <c r="D612" s="20" t="s">
        <v>69</v>
      </c>
      <c r="E612" s="21" t="s">
        <v>777</v>
      </c>
      <c r="F612" s="22" t="s">
        <v>777</v>
      </c>
      <c r="G612" s="23" t="s">
        <v>25</v>
      </c>
      <c r="H612" s="24" t="s">
        <v>11</v>
      </c>
      <c r="I612" s="25">
        <f>IFERROR(VLOOKUP(VALUE(B612), 'คำนวณ '!A:U, 21, FALSE), "")</f>
        <v>1</v>
      </c>
      <c r="J612" s="26">
        <f>IFERROR(VLOOKUP(VALUE(B612), 'คำนวณ '!A:V, 22, FALSE), "")</f>
        <v>1</v>
      </c>
      <c r="K612" s="27" t="s">
        <v>19</v>
      </c>
      <c r="U612" s="26"/>
      <c r="X612" s="26"/>
    </row>
    <row r="613" ht="15.0" customHeight="1">
      <c r="A613" s="11">
        <v>532.0</v>
      </c>
      <c r="B613" s="18" t="s">
        <v>1304</v>
      </c>
      <c r="C613" s="36" t="s">
        <v>1305</v>
      </c>
      <c r="D613" s="20" t="s">
        <v>69</v>
      </c>
      <c r="E613" s="21">
        <v>4.0</v>
      </c>
      <c r="F613" s="22" t="s">
        <v>1306</v>
      </c>
      <c r="G613" s="23" t="s">
        <v>25</v>
      </c>
      <c r="H613" s="24" t="s">
        <v>11</v>
      </c>
      <c r="I613" s="25">
        <f>IFERROR(VLOOKUP(VALUE(B613), 'คำนวณ '!A:U, 21, FALSE), "")</f>
        <v>1</v>
      </c>
      <c r="J613" s="26">
        <f>IFERROR(VLOOKUP(VALUE(B613), 'คำนวณ '!A:V, 22, FALSE), "")</f>
        <v>1</v>
      </c>
      <c r="K613" s="27" t="s">
        <v>19</v>
      </c>
      <c r="U613" s="26"/>
      <c r="X613" s="26"/>
    </row>
    <row r="614" ht="15.0" customHeight="1">
      <c r="A614" s="11">
        <v>532.0</v>
      </c>
      <c r="B614" s="18" t="s">
        <v>1307</v>
      </c>
      <c r="C614" s="36" t="s">
        <v>1308</v>
      </c>
      <c r="D614" s="20" t="s">
        <v>39</v>
      </c>
      <c r="E614" s="21">
        <v>2.0</v>
      </c>
      <c r="F614" s="22" t="s">
        <v>83</v>
      </c>
      <c r="G614" s="23" t="s">
        <v>25</v>
      </c>
      <c r="H614" s="24" t="s">
        <v>11</v>
      </c>
      <c r="I614" s="25">
        <f>IFERROR(VLOOKUP(VALUE(B614), 'คำนวณ '!A:U, 21, FALSE), "")</f>
        <v>1</v>
      </c>
      <c r="J614" s="26">
        <f>IFERROR(VLOOKUP(VALUE(B614), 'คำนวณ '!A:V, 22, FALSE), "")</f>
        <v>1</v>
      </c>
      <c r="K614" s="27" t="s">
        <v>19</v>
      </c>
      <c r="U614" s="26"/>
      <c r="X614" s="26"/>
    </row>
    <row r="615" ht="15.0" customHeight="1">
      <c r="A615" s="11">
        <v>533.0</v>
      </c>
      <c r="B615" s="18" t="s">
        <v>1309</v>
      </c>
      <c r="C615" s="36" t="s">
        <v>1310</v>
      </c>
      <c r="D615" s="20" t="s">
        <v>84</v>
      </c>
      <c r="E615" s="21">
        <v>2.0</v>
      </c>
      <c r="F615" s="22" t="s">
        <v>1311</v>
      </c>
      <c r="G615" s="23" t="s">
        <v>25</v>
      </c>
      <c r="H615" s="24" t="s">
        <v>11</v>
      </c>
      <c r="I615" s="25">
        <f>IFERROR(VLOOKUP(VALUE(B615), 'คำนวณ '!A:U, 21, FALSE), "")</f>
        <v>1</v>
      </c>
      <c r="J615" s="26">
        <f>IFERROR(VLOOKUP(VALUE(B615), 'คำนวณ '!A:V, 22, FALSE), "")</f>
        <v>1</v>
      </c>
      <c r="K615" s="27" t="s">
        <v>19</v>
      </c>
      <c r="U615" s="26"/>
      <c r="X615" s="26"/>
    </row>
    <row r="616" ht="15.0" customHeight="1">
      <c r="A616" s="11">
        <v>533.0</v>
      </c>
      <c r="B616" s="18" t="s">
        <v>1312</v>
      </c>
      <c r="C616" s="36" t="s">
        <v>1313</v>
      </c>
      <c r="D616" s="39"/>
      <c r="E616" s="40"/>
      <c r="F616" s="41"/>
      <c r="G616" s="23" t="s">
        <v>25</v>
      </c>
      <c r="H616" s="42"/>
      <c r="I616" s="25" t="str">
        <f>IFERROR(VLOOKUP(VALUE(B616), 'คำนวณ '!A:U, 21, FALSE), "")</f>
        <v/>
      </c>
      <c r="J616" s="26" t="str">
        <f>IFERROR(VLOOKUP(VALUE(B616), 'คำนวณ '!A:V, 22, FALSE), "")</f>
        <v/>
      </c>
      <c r="K616" s="27" t="s">
        <v>19</v>
      </c>
      <c r="U616" s="26"/>
      <c r="X616" s="26"/>
    </row>
    <row r="617" ht="15.0" customHeight="1">
      <c r="A617" s="11">
        <v>533.0</v>
      </c>
      <c r="B617" s="18" t="s">
        <v>1314</v>
      </c>
      <c r="C617" s="36" t="s">
        <v>1315</v>
      </c>
      <c r="D617" s="20" t="s">
        <v>84</v>
      </c>
      <c r="E617" s="21">
        <v>4.0</v>
      </c>
      <c r="F617" s="22" t="s">
        <v>38</v>
      </c>
      <c r="G617" s="23" t="s">
        <v>25</v>
      </c>
      <c r="H617" s="24" t="s">
        <v>11</v>
      </c>
      <c r="I617" s="25">
        <f>IFERROR(VLOOKUP(VALUE(B617), 'คำนวณ '!A:U, 21, FALSE), "")</f>
        <v>1</v>
      </c>
      <c r="J617" s="26">
        <f>IFERROR(VLOOKUP(VALUE(B617), 'คำนวณ '!A:V, 22, FALSE), "")</f>
        <v>1</v>
      </c>
      <c r="K617" s="27" t="s">
        <v>19</v>
      </c>
      <c r="U617" s="26"/>
      <c r="X617" s="26"/>
    </row>
    <row r="618" ht="15.0" customHeight="1">
      <c r="A618" s="11">
        <v>533.0</v>
      </c>
      <c r="B618" s="18" t="s">
        <v>1316</v>
      </c>
      <c r="C618" s="36" t="s">
        <v>1317</v>
      </c>
      <c r="D618" s="20" t="s">
        <v>39</v>
      </c>
      <c r="E618" s="21" t="s">
        <v>777</v>
      </c>
      <c r="F618" s="22" t="s">
        <v>777</v>
      </c>
      <c r="G618" s="23" t="s">
        <v>25</v>
      </c>
      <c r="H618" s="24" t="s">
        <v>11</v>
      </c>
      <c r="I618" s="25">
        <f>IFERROR(VLOOKUP(VALUE(B618), 'คำนวณ '!A:U, 21, FALSE), "")</f>
        <v>1</v>
      </c>
      <c r="J618" s="26">
        <f>IFERROR(VLOOKUP(VALUE(B618), 'คำนวณ '!A:V, 22, FALSE), "")</f>
        <v>1</v>
      </c>
      <c r="K618" s="27" t="s">
        <v>19</v>
      </c>
      <c r="U618" s="26"/>
      <c r="X618" s="26"/>
    </row>
    <row r="619" ht="15.0" customHeight="1">
      <c r="A619" s="11">
        <v>541.0</v>
      </c>
      <c r="B619" s="18" t="s">
        <v>1318</v>
      </c>
      <c r="C619" s="36" t="s">
        <v>1319</v>
      </c>
      <c r="D619" s="39"/>
      <c r="E619" s="40"/>
      <c r="F619" s="41"/>
      <c r="G619" s="23" t="s">
        <v>25</v>
      </c>
      <c r="H619" s="42"/>
      <c r="I619" s="25" t="str">
        <f>IFERROR(VLOOKUP(VALUE(B619), 'คำนวณ '!A:U, 21, FALSE), "")</f>
        <v/>
      </c>
      <c r="J619" s="26" t="str">
        <f>IFERROR(VLOOKUP(VALUE(B619), 'คำนวณ '!A:V, 22, FALSE), "")</f>
        <v/>
      </c>
      <c r="K619" s="27" t="s">
        <v>19</v>
      </c>
      <c r="U619" s="26"/>
      <c r="X619" s="26"/>
    </row>
    <row r="620" ht="15.0" customHeight="1">
      <c r="A620" s="11">
        <v>541.0</v>
      </c>
      <c r="B620" s="18" t="s">
        <v>1320</v>
      </c>
      <c r="C620" s="36" t="s">
        <v>1321</v>
      </c>
      <c r="D620" s="20" t="s">
        <v>39</v>
      </c>
      <c r="E620" s="21">
        <v>4.0</v>
      </c>
      <c r="F620" s="22" t="s">
        <v>1322</v>
      </c>
      <c r="G620" s="23" t="s">
        <v>25</v>
      </c>
      <c r="H620" s="24" t="s">
        <v>11</v>
      </c>
      <c r="I620" s="25">
        <f>IFERROR(VLOOKUP(VALUE(B620), 'คำนวณ '!A:U, 21, FALSE), "")</f>
        <v>1</v>
      </c>
      <c r="J620" s="26">
        <f>IFERROR(VLOOKUP(VALUE(B620), 'คำนวณ '!A:V, 22, FALSE), "")</f>
        <v>1</v>
      </c>
      <c r="K620" s="27" t="s">
        <v>19</v>
      </c>
      <c r="U620" s="26"/>
      <c r="X620" s="26"/>
    </row>
    <row r="621" ht="15.0" customHeight="1">
      <c r="A621" s="11">
        <v>541.0</v>
      </c>
      <c r="B621" s="18" t="s">
        <v>1323</v>
      </c>
      <c r="C621" s="36" t="s">
        <v>1324</v>
      </c>
      <c r="D621" s="20" t="s">
        <v>84</v>
      </c>
      <c r="E621" s="21">
        <v>2.0</v>
      </c>
      <c r="F621" s="22" t="s">
        <v>83</v>
      </c>
      <c r="G621" s="23" t="s">
        <v>25</v>
      </c>
      <c r="H621" s="24" t="s">
        <v>11</v>
      </c>
      <c r="I621" s="25">
        <f>IFERROR(VLOOKUP(VALUE(B621), 'คำนวณ '!A:U, 21, FALSE), "")</f>
        <v>1</v>
      </c>
      <c r="J621" s="26">
        <f>IFERROR(VLOOKUP(VALUE(B621), 'คำนวณ '!A:V, 22, FALSE), "")</f>
        <v>1</v>
      </c>
      <c r="K621" s="27" t="s">
        <v>19</v>
      </c>
      <c r="U621" s="26"/>
      <c r="X621" s="26"/>
    </row>
    <row r="622" ht="15.0" customHeight="1">
      <c r="A622" s="11">
        <v>541.0</v>
      </c>
      <c r="B622" s="18" t="s">
        <v>1325</v>
      </c>
      <c r="C622" s="36" t="s">
        <v>1326</v>
      </c>
      <c r="D622" s="39"/>
      <c r="E622" s="40"/>
      <c r="F622" s="41"/>
      <c r="G622" s="23" t="s">
        <v>25</v>
      </c>
      <c r="H622" s="42"/>
      <c r="I622" s="25" t="str">
        <f>IFERROR(VLOOKUP(VALUE(B622), 'คำนวณ '!A:U, 21, FALSE), "")</f>
        <v/>
      </c>
      <c r="J622" s="26" t="str">
        <f>IFERROR(VLOOKUP(VALUE(B622), 'คำนวณ '!A:V, 22, FALSE), "")</f>
        <v/>
      </c>
      <c r="K622" s="27" t="s">
        <v>19</v>
      </c>
      <c r="U622" s="26"/>
      <c r="X622" s="26"/>
    </row>
    <row r="623" ht="15.0" customHeight="1">
      <c r="A623" s="11">
        <v>541.0</v>
      </c>
      <c r="B623" s="18" t="s">
        <v>1327</v>
      </c>
      <c r="C623" s="36" t="s">
        <v>1328</v>
      </c>
      <c r="D623" s="39"/>
      <c r="E623" s="40"/>
      <c r="F623" s="41"/>
      <c r="G623" s="23" t="s">
        <v>25</v>
      </c>
      <c r="H623" s="42"/>
      <c r="I623" s="25" t="str">
        <f>IFERROR(VLOOKUP(VALUE(B623), 'คำนวณ '!A:U, 21, FALSE), "")</f>
        <v/>
      </c>
      <c r="J623" s="26" t="str">
        <f>IFERROR(VLOOKUP(VALUE(B623), 'คำนวณ '!A:V, 22, FALSE), "")</f>
        <v/>
      </c>
      <c r="K623" s="27" t="s">
        <v>19</v>
      </c>
      <c r="U623" s="26"/>
      <c r="X623" s="26"/>
    </row>
    <row r="624" ht="15.0" customHeight="1">
      <c r="A624" s="11">
        <v>541.0</v>
      </c>
      <c r="B624" s="18" t="s">
        <v>1329</v>
      </c>
      <c r="C624" s="36" t="s">
        <v>1330</v>
      </c>
      <c r="D624" s="20" t="s">
        <v>84</v>
      </c>
      <c r="E624" s="21">
        <v>2.0</v>
      </c>
      <c r="F624" s="22" t="s">
        <v>1331</v>
      </c>
      <c r="G624" s="23" t="s">
        <v>25</v>
      </c>
      <c r="H624" s="24" t="s">
        <v>11</v>
      </c>
      <c r="I624" s="25">
        <f>IFERROR(VLOOKUP(VALUE(B624), 'คำนวณ '!A:U, 21, FALSE), "")</f>
        <v>1</v>
      </c>
      <c r="J624" s="26">
        <f>IFERROR(VLOOKUP(VALUE(B624), 'คำนวณ '!A:V, 22, FALSE), "")</f>
        <v>1</v>
      </c>
      <c r="K624" s="27" t="s">
        <v>19</v>
      </c>
      <c r="U624" s="26"/>
      <c r="X624" s="26"/>
    </row>
    <row r="625" ht="15.0" customHeight="1">
      <c r="A625" s="11">
        <v>541.0</v>
      </c>
      <c r="B625" s="18" t="s">
        <v>1332</v>
      </c>
      <c r="C625" s="36" t="s">
        <v>1333</v>
      </c>
      <c r="D625" s="39"/>
      <c r="E625" s="40"/>
      <c r="F625" s="41"/>
      <c r="G625" s="23" t="s">
        <v>25</v>
      </c>
      <c r="H625" s="42"/>
      <c r="I625" s="25" t="str">
        <f>IFERROR(VLOOKUP(VALUE(B625), 'คำนวณ '!A:U, 21, FALSE), "")</f>
        <v/>
      </c>
      <c r="J625" s="26" t="str">
        <f>IFERROR(VLOOKUP(VALUE(B625), 'คำนวณ '!A:V, 22, FALSE), "")</f>
        <v/>
      </c>
      <c r="K625" s="27" t="s">
        <v>19</v>
      </c>
      <c r="U625" s="26"/>
      <c r="X625" s="26"/>
    </row>
    <row r="626" ht="15.0" customHeight="1">
      <c r="A626" s="11">
        <v>542.0</v>
      </c>
      <c r="B626" s="18" t="s">
        <v>1334</v>
      </c>
      <c r="C626" s="36" t="s">
        <v>1335</v>
      </c>
      <c r="D626" s="39"/>
      <c r="E626" s="40"/>
      <c r="F626" s="41"/>
      <c r="G626" s="23" t="s">
        <v>25</v>
      </c>
      <c r="H626" s="42"/>
      <c r="I626" s="25" t="str">
        <f>IFERROR(VLOOKUP(VALUE(B626), 'คำนวณ '!A:U, 21, FALSE), "")</f>
        <v/>
      </c>
      <c r="J626" s="26" t="str">
        <f>IFERROR(VLOOKUP(VALUE(B626), 'คำนวณ '!A:V, 22, FALSE), "")</f>
        <v/>
      </c>
      <c r="K626" s="27" t="s">
        <v>19</v>
      </c>
      <c r="U626" s="26"/>
      <c r="X626" s="26"/>
    </row>
    <row r="627" ht="15.0" customHeight="1">
      <c r="A627" s="11">
        <v>542.0</v>
      </c>
      <c r="B627" s="18" t="s">
        <v>1336</v>
      </c>
      <c r="C627" s="36" t="s">
        <v>1337</v>
      </c>
      <c r="D627" s="20" t="s">
        <v>73</v>
      </c>
      <c r="E627" s="21">
        <v>4.0</v>
      </c>
      <c r="F627" s="22" t="s">
        <v>38</v>
      </c>
      <c r="G627" s="23" t="s">
        <v>25</v>
      </c>
      <c r="H627" s="24" t="s">
        <v>11</v>
      </c>
      <c r="I627" s="25">
        <f>IFERROR(VLOOKUP(VALUE(B627), 'คำนวณ '!A:U, 21, FALSE), "")</f>
        <v>1</v>
      </c>
      <c r="J627" s="26">
        <f>IFERROR(VLOOKUP(VALUE(B627), 'คำนวณ '!A:V, 22, FALSE), "")</f>
        <v>1</v>
      </c>
      <c r="K627" s="27" t="s">
        <v>19</v>
      </c>
      <c r="U627" s="26"/>
      <c r="X627" s="26"/>
    </row>
    <row r="628" ht="15.0" customHeight="1">
      <c r="A628" s="11">
        <v>542.0</v>
      </c>
      <c r="B628" s="18" t="s">
        <v>1338</v>
      </c>
      <c r="C628" s="36" t="s">
        <v>1339</v>
      </c>
      <c r="D628" s="39"/>
      <c r="E628" s="40"/>
      <c r="F628" s="41"/>
      <c r="G628" s="23" t="s">
        <v>25</v>
      </c>
      <c r="H628" s="42"/>
      <c r="I628" s="25" t="str">
        <f>IFERROR(VLOOKUP(VALUE(B628), 'คำนวณ '!A:U, 21, FALSE), "")</f>
        <v/>
      </c>
      <c r="J628" s="26" t="str">
        <f>IFERROR(VLOOKUP(VALUE(B628), 'คำนวณ '!A:V, 22, FALSE), "")</f>
        <v/>
      </c>
      <c r="K628" s="27" t="s">
        <v>19</v>
      </c>
      <c r="U628" s="26"/>
      <c r="X628" s="26"/>
    </row>
    <row r="629" ht="15.0" customHeight="1">
      <c r="A629" s="11">
        <v>542.0</v>
      </c>
      <c r="B629" s="18" t="s">
        <v>1340</v>
      </c>
      <c r="C629" s="36" t="s">
        <v>1341</v>
      </c>
      <c r="D629" s="39"/>
      <c r="E629" s="40"/>
      <c r="F629" s="41"/>
      <c r="G629" s="23" t="s">
        <v>25</v>
      </c>
      <c r="H629" s="42"/>
      <c r="I629" s="25" t="str">
        <f>IFERROR(VLOOKUP(VALUE(B629), 'คำนวณ '!A:U, 21, FALSE), "")</f>
        <v/>
      </c>
      <c r="J629" s="26" t="str">
        <f>IFERROR(VLOOKUP(VALUE(B629), 'คำนวณ '!A:V, 22, FALSE), "")</f>
        <v/>
      </c>
      <c r="K629" s="27" t="s">
        <v>19</v>
      </c>
      <c r="U629" s="26"/>
      <c r="X629" s="26"/>
    </row>
    <row r="630" ht="15.0" customHeight="1">
      <c r="A630" s="11">
        <v>542.0</v>
      </c>
      <c r="B630" s="18" t="s">
        <v>1342</v>
      </c>
      <c r="C630" s="36" t="s">
        <v>1343</v>
      </c>
      <c r="D630" s="39"/>
      <c r="E630" s="40"/>
      <c r="F630" s="41"/>
      <c r="G630" s="23" t="s">
        <v>25</v>
      </c>
      <c r="H630" s="42"/>
      <c r="I630" s="25" t="str">
        <f>IFERROR(VLOOKUP(VALUE(B630), 'คำนวณ '!A:U, 21, FALSE), "")</f>
        <v/>
      </c>
      <c r="J630" s="26" t="str">
        <f>IFERROR(VLOOKUP(VALUE(B630), 'คำนวณ '!A:V, 22, FALSE), "")</f>
        <v/>
      </c>
      <c r="K630" s="27" t="s">
        <v>19</v>
      </c>
      <c r="U630" s="26"/>
      <c r="X630" s="26"/>
    </row>
    <row r="631" ht="15.0" customHeight="1">
      <c r="A631" s="11">
        <v>542.0</v>
      </c>
      <c r="B631" s="18" t="s">
        <v>1344</v>
      </c>
      <c r="C631" s="36" t="s">
        <v>1345</v>
      </c>
      <c r="D631" s="20" t="s">
        <v>73</v>
      </c>
      <c r="E631" s="21">
        <v>4.0</v>
      </c>
      <c r="F631" s="22" t="s">
        <v>38</v>
      </c>
      <c r="G631" s="23" t="s">
        <v>25</v>
      </c>
      <c r="H631" s="24" t="s">
        <v>11</v>
      </c>
      <c r="I631" s="25">
        <f>IFERROR(VLOOKUP(VALUE(B631), 'คำนวณ '!A:U, 21, FALSE), "")</f>
        <v>1</v>
      </c>
      <c r="J631" s="26">
        <f>IFERROR(VLOOKUP(VALUE(B631), 'คำนวณ '!A:V, 22, FALSE), "")</f>
        <v>1</v>
      </c>
      <c r="K631" s="27" t="s">
        <v>19</v>
      </c>
      <c r="U631" s="26"/>
      <c r="X631" s="26"/>
    </row>
    <row r="632" ht="15.0" customHeight="1">
      <c r="A632" s="11">
        <v>542.0</v>
      </c>
      <c r="B632" s="18" t="s">
        <v>1346</v>
      </c>
      <c r="C632" s="36" t="s">
        <v>1347</v>
      </c>
      <c r="D632" s="20" t="s">
        <v>73</v>
      </c>
      <c r="E632" s="21">
        <v>4.0</v>
      </c>
      <c r="F632" s="22" t="s">
        <v>38</v>
      </c>
      <c r="G632" s="23" t="s">
        <v>25</v>
      </c>
      <c r="H632" s="24" t="s">
        <v>11</v>
      </c>
      <c r="I632" s="25">
        <f>IFERROR(VLOOKUP(VALUE(B632), 'คำนวณ '!A:U, 21, FALSE), "")</f>
        <v>1</v>
      </c>
      <c r="J632" s="26">
        <f>IFERROR(VLOOKUP(VALUE(B632), 'คำนวณ '!A:V, 22, FALSE), "")</f>
        <v>1</v>
      </c>
      <c r="K632" s="27" t="s">
        <v>19</v>
      </c>
      <c r="U632" s="26"/>
      <c r="X632" s="26"/>
    </row>
    <row r="633" ht="15.0" customHeight="1">
      <c r="A633" s="11">
        <v>542.0</v>
      </c>
      <c r="B633" s="18" t="s">
        <v>1348</v>
      </c>
      <c r="C633" s="36" t="s">
        <v>1349</v>
      </c>
      <c r="D633" s="20" t="s">
        <v>73</v>
      </c>
      <c r="E633" s="21">
        <v>4.0</v>
      </c>
      <c r="F633" s="22" t="s">
        <v>38</v>
      </c>
      <c r="G633" s="23" t="s">
        <v>25</v>
      </c>
      <c r="H633" s="24" t="s">
        <v>11</v>
      </c>
      <c r="I633" s="25">
        <f>IFERROR(VLOOKUP(VALUE(B633), 'คำนวณ '!A:U, 21, FALSE), "")</f>
        <v>1</v>
      </c>
      <c r="J633" s="26" t="str">
        <f>IFERROR(VLOOKUP(VALUE(B633), 'คำนวณ '!A:V, 22, FALSE), "")</f>
        <v/>
      </c>
      <c r="K633" s="27" t="s">
        <v>19</v>
      </c>
      <c r="U633" s="26"/>
      <c r="X633" s="26"/>
    </row>
    <row r="634" ht="15.0" customHeight="1">
      <c r="A634" s="11">
        <v>611.0</v>
      </c>
      <c r="B634" s="18" t="s">
        <v>1350</v>
      </c>
      <c r="C634" s="36" t="s">
        <v>1351</v>
      </c>
      <c r="D634" s="20" t="s">
        <v>84</v>
      </c>
      <c r="E634" s="21">
        <v>2.0</v>
      </c>
      <c r="F634" s="22" t="s">
        <v>83</v>
      </c>
      <c r="G634" s="23" t="s">
        <v>25</v>
      </c>
      <c r="H634" s="24" t="s">
        <v>11</v>
      </c>
      <c r="I634" s="25">
        <f>IFERROR(VLOOKUP(VALUE(B634), 'คำนวณ '!A:U, 21, FALSE), "")</f>
        <v>1</v>
      </c>
      <c r="J634" s="26">
        <f>IFERROR(VLOOKUP(VALUE(B634), 'คำนวณ '!A:V, 22, FALSE), "")</f>
        <v>1</v>
      </c>
      <c r="K634" s="27" t="s">
        <v>19</v>
      </c>
      <c r="U634" s="26"/>
      <c r="X634" s="26"/>
    </row>
    <row r="635" ht="15.0" customHeight="1">
      <c r="A635" s="11">
        <v>611.0</v>
      </c>
      <c r="B635" s="18" t="s">
        <v>1352</v>
      </c>
      <c r="C635" s="36" t="s">
        <v>1353</v>
      </c>
      <c r="D635" s="20" t="s">
        <v>84</v>
      </c>
      <c r="E635" s="21">
        <v>2.0</v>
      </c>
      <c r="F635" s="22" t="s">
        <v>83</v>
      </c>
      <c r="G635" s="23" t="s">
        <v>25</v>
      </c>
      <c r="H635" s="24" t="s">
        <v>11</v>
      </c>
      <c r="I635" s="25">
        <f>IFERROR(VLOOKUP(VALUE(B635), 'คำนวณ '!A:U, 21, FALSE), "")</f>
        <v>1</v>
      </c>
      <c r="J635" s="26" t="str">
        <f>IFERROR(VLOOKUP(VALUE(B635), 'คำนวณ '!A:V, 22, FALSE), "")</f>
        <v/>
      </c>
      <c r="K635" s="27" t="s">
        <v>19</v>
      </c>
      <c r="U635" s="26"/>
      <c r="X635" s="26"/>
    </row>
    <row r="636" ht="15.0" customHeight="1">
      <c r="A636" s="11">
        <v>611.0</v>
      </c>
      <c r="B636" s="18" t="s">
        <v>1354</v>
      </c>
      <c r="C636" s="36" t="s">
        <v>1355</v>
      </c>
      <c r="D636" s="39"/>
      <c r="E636" s="40"/>
      <c r="F636" s="41"/>
      <c r="G636" s="23" t="s">
        <v>25</v>
      </c>
      <c r="H636" s="42"/>
      <c r="I636" s="25" t="str">
        <f>IFERROR(VLOOKUP(VALUE(B636), 'คำนวณ '!A:U, 21, FALSE), "")</f>
        <v/>
      </c>
      <c r="J636" s="26" t="str">
        <f>IFERROR(VLOOKUP(VALUE(B636), 'คำนวณ '!A:V, 22, FALSE), "")</f>
        <v/>
      </c>
      <c r="K636" s="27" t="s">
        <v>19</v>
      </c>
      <c r="U636" s="26"/>
      <c r="X636" s="26"/>
    </row>
    <row r="637" ht="15.0" customHeight="1">
      <c r="A637" s="11">
        <v>611.0</v>
      </c>
      <c r="B637" s="18" t="s">
        <v>1356</v>
      </c>
      <c r="C637" s="36" t="s">
        <v>1357</v>
      </c>
      <c r="D637" s="39"/>
      <c r="E637" s="40"/>
      <c r="F637" s="41"/>
      <c r="G637" s="23" t="s">
        <v>25</v>
      </c>
      <c r="H637" s="42"/>
      <c r="I637" s="25" t="str">
        <f>IFERROR(VLOOKUP(VALUE(B637), 'คำนวณ '!A:U, 21, FALSE), "")</f>
        <v/>
      </c>
      <c r="J637" s="26" t="str">
        <f>IFERROR(VLOOKUP(VALUE(B637), 'คำนวณ '!A:V, 22, FALSE), "")</f>
        <v/>
      </c>
      <c r="K637" s="27" t="s">
        <v>19</v>
      </c>
      <c r="U637" s="26"/>
      <c r="X637" s="26"/>
    </row>
    <row r="638" ht="15.0" customHeight="1">
      <c r="A638" s="11">
        <v>611.0</v>
      </c>
      <c r="B638" s="18" t="s">
        <v>1358</v>
      </c>
      <c r="C638" s="36" t="s">
        <v>1359</v>
      </c>
      <c r="D638" s="39"/>
      <c r="E638" s="40"/>
      <c r="F638" s="41"/>
      <c r="G638" s="23" t="s">
        <v>25</v>
      </c>
      <c r="H638" s="42"/>
      <c r="I638" s="25" t="str">
        <f>IFERROR(VLOOKUP(VALUE(B638), 'คำนวณ '!A:U, 21, FALSE), "")</f>
        <v/>
      </c>
      <c r="J638" s="26" t="str">
        <f>IFERROR(VLOOKUP(VALUE(B638), 'คำนวณ '!A:V, 22, FALSE), "")</f>
        <v/>
      </c>
      <c r="K638" s="27" t="s">
        <v>19</v>
      </c>
      <c r="U638" s="26"/>
      <c r="X638" s="26"/>
    </row>
    <row r="639" ht="15.0" customHeight="1">
      <c r="A639" s="11">
        <v>611.0</v>
      </c>
      <c r="B639" s="18" t="s">
        <v>1360</v>
      </c>
      <c r="C639" s="36" t="s">
        <v>1361</v>
      </c>
      <c r="D639" s="39"/>
      <c r="E639" s="40"/>
      <c r="F639" s="41"/>
      <c r="G639" s="23" t="s">
        <v>25</v>
      </c>
      <c r="H639" s="42"/>
      <c r="I639" s="25" t="str">
        <f>IFERROR(VLOOKUP(VALUE(B639), 'คำนวณ '!A:U, 21, FALSE), "")</f>
        <v/>
      </c>
      <c r="J639" s="26" t="str">
        <f>IFERROR(VLOOKUP(VALUE(B639), 'คำนวณ '!A:V, 22, FALSE), "")</f>
        <v/>
      </c>
      <c r="K639" s="27" t="s">
        <v>19</v>
      </c>
      <c r="U639" s="26"/>
      <c r="X639" s="26"/>
    </row>
    <row r="640" ht="15.0" customHeight="1">
      <c r="A640" s="11">
        <v>611.0</v>
      </c>
      <c r="B640" s="18" t="s">
        <v>1362</v>
      </c>
      <c r="C640" s="36" t="s">
        <v>1363</v>
      </c>
      <c r="D640" s="20" t="s">
        <v>84</v>
      </c>
      <c r="E640" s="21">
        <v>2.0</v>
      </c>
      <c r="F640" s="22" t="s">
        <v>83</v>
      </c>
      <c r="G640" s="23" t="s">
        <v>25</v>
      </c>
      <c r="H640" s="24" t="s">
        <v>11</v>
      </c>
      <c r="I640" s="25">
        <f>IFERROR(VLOOKUP(VALUE(B640), 'คำนวณ '!A:U, 21, FALSE), "")</f>
        <v>1</v>
      </c>
      <c r="J640" s="26">
        <f>IFERROR(VLOOKUP(VALUE(B640), 'คำนวณ '!A:V, 22, FALSE), "")</f>
        <v>1</v>
      </c>
      <c r="K640" s="27" t="s">
        <v>19</v>
      </c>
      <c r="U640" s="26"/>
      <c r="X640" s="26"/>
    </row>
    <row r="641" ht="15.0" customHeight="1">
      <c r="A641" s="11">
        <v>612.0</v>
      </c>
      <c r="B641" s="18" t="s">
        <v>1364</v>
      </c>
      <c r="C641" s="36" t="s">
        <v>1365</v>
      </c>
      <c r="D641" s="39"/>
      <c r="E641" s="40"/>
      <c r="F641" s="41"/>
      <c r="G641" s="23" t="s">
        <v>25</v>
      </c>
      <c r="H641" s="42"/>
      <c r="I641" s="25" t="str">
        <f>IFERROR(VLOOKUP(VALUE(B641), 'คำนวณ '!A:U, 21, FALSE), "")</f>
        <v/>
      </c>
      <c r="J641" s="26" t="str">
        <f>IFERROR(VLOOKUP(VALUE(B641), 'คำนวณ '!A:V, 22, FALSE), "")</f>
        <v/>
      </c>
      <c r="K641" s="27" t="s">
        <v>19</v>
      </c>
      <c r="U641" s="26"/>
      <c r="X641" s="26"/>
    </row>
    <row r="642" ht="15.0" customHeight="1">
      <c r="A642" s="11">
        <v>612.0</v>
      </c>
      <c r="B642" s="18" t="s">
        <v>1366</v>
      </c>
      <c r="C642" s="36" t="s">
        <v>1367</v>
      </c>
      <c r="D642" s="20" t="s">
        <v>84</v>
      </c>
      <c r="E642" s="21">
        <v>4.0</v>
      </c>
      <c r="F642" s="22" t="s">
        <v>38</v>
      </c>
      <c r="G642" s="23" t="s">
        <v>25</v>
      </c>
      <c r="H642" s="24" t="s">
        <v>11</v>
      </c>
      <c r="I642" s="25">
        <f>IFERROR(VLOOKUP(VALUE(B642), 'คำนวณ '!A:U, 21, FALSE), "")</f>
        <v>1</v>
      </c>
      <c r="J642" s="26">
        <f>IFERROR(VLOOKUP(VALUE(B642), 'คำนวณ '!A:V, 22, FALSE), "")</f>
        <v>1</v>
      </c>
      <c r="K642" s="27" t="s">
        <v>19</v>
      </c>
      <c r="U642" s="26"/>
      <c r="X642" s="26"/>
    </row>
    <row r="643" ht="15.0" customHeight="1">
      <c r="A643" s="11">
        <v>612.0</v>
      </c>
      <c r="B643" s="18" t="s">
        <v>1368</v>
      </c>
      <c r="C643" s="36" t="s">
        <v>1369</v>
      </c>
      <c r="D643" s="39"/>
      <c r="E643" s="40"/>
      <c r="F643" s="41"/>
      <c r="G643" s="23" t="s">
        <v>25</v>
      </c>
      <c r="H643" s="42"/>
      <c r="I643" s="25" t="str">
        <f>IFERROR(VLOOKUP(VALUE(B643), 'คำนวณ '!A:U, 21, FALSE), "")</f>
        <v/>
      </c>
      <c r="J643" s="26" t="str">
        <f>IFERROR(VLOOKUP(VALUE(B643), 'คำนวณ '!A:V, 22, FALSE), "")</f>
        <v/>
      </c>
      <c r="K643" s="27" t="s">
        <v>19</v>
      </c>
      <c r="U643" s="26"/>
      <c r="X643" s="26"/>
    </row>
    <row r="644" ht="15.0" customHeight="1">
      <c r="A644" s="11">
        <v>612.0</v>
      </c>
      <c r="B644" s="18" t="s">
        <v>1370</v>
      </c>
      <c r="C644" s="36" t="s">
        <v>1371</v>
      </c>
      <c r="D644" s="39"/>
      <c r="E644" s="40"/>
      <c r="F644" s="41"/>
      <c r="G644" s="23" t="s">
        <v>25</v>
      </c>
      <c r="H644" s="42"/>
      <c r="I644" s="25" t="str">
        <f>IFERROR(VLOOKUP(VALUE(B644), 'คำนวณ '!A:U, 21, FALSE), "")</f>
        <v/>
      </c>
      <c r="J644" s="26" t="str">
        <f>IFERROR(VLOOKUP(VALUE(B644), 'คำนวณ '!A:V, 22, FALSE), "")</f>
        <v/>
      </c>
      <c r="K644" s="27" t="s">
        <v>19</v>
      </c>
      <c r="U644" s="26"/>
      <c r="X644" s="26"/>
    </row>
    <row r="645" ht="15.0" customHeight="1">
      <c r="A645" s="11">
        <v>612.0</v>
      </c>
      <c r="B645" s="18" t="s">
        <v>1372</v>
      </c>
      <c r="C645" s="36" t="s">
        <v>1373</v>
      </c>
      <c r="D645" s="39"/>
      <c r="E645" s="40"/>
      <c r="F645" s="41"/>
      <c r="G645" s="23" t="s">
        <v>25</v>
      </c>
      <c r="H645" s="42"/>
      <c r="I645" s="25" t="str">
        <f>IFERROR(VLOOKUP(VALUE(B645), 'คำนวณ '!A:U, 21, FALSE), "")</f>
        <v/>
      </c>
      <c r="J645" s="26" t="str">
        <f>IFERROR(VLOOKUP(VALUE(B645), 'คำนวณ '!A:V, 22, FALSE), "")</f>
        <v/>
      </c>
      <c r="K645" s="27" t="s">
        <v>19</v>
      </c>
      <c r="U645" s="26"/>
      <c r="X645" s="26"/>
    </row>
    <row r="646" ht="15.0" customHeight="1">
      <c r="A646" s="11">
        <v>612.0</v>
      </c>
      <c r="B646" s="18" t="s">
        <v>1374</v>
      </c>
      <c r="C646" s="36" t="s">
        <v>1375</v>
      </c>
      <c r="D646" s="39"/>
      <c r="E646" s="40"/>
      <c r="F646" s="41"/>
      <c r="G646" s="23" t="s">
        <v>25</v>
      </c>
      <c r="H646" s="42"/>
      <c r="I646" s="25" t="str">
        <f>IFERROR(VLOOKUP(VALUE(B646), 'คำนวณ '!A:U, 21, FALSE), "")</f>
        <v/>
      </c>
      <c r="J646" s="26" t="str">
        <f>IFERROR(VLOOKUP(VALUE(B646), 'คำนวณ '!A:V, 22, FALSE), "")</f>
        <v/>
      </c>
      <c r="K646" s="27" t="s">
        <v>19</v>
      </c>
      <c r="U646" s="26"/>
      <c r="X646" s="26"/>
    </row>
    <row r="647" ht="15.0" customHeight="1">
      <c r="A647" s="11">
        <v>612.0</v>
      </c>
      <c r="B647" s="18" t="s">
        <v>1376</v>
      </c>
      <c r="C647" s="36" t="s">
        <v>1377</v>
      </c>
      <c r="D647" s="39"/>
      <c r="E647" s="40"/>
      <c r="F647" s="41"/>
      <c r="G647" s="23" t="s">
        <v>25</v>
      </c>
      <c r="H647" s="42"/>
      <c r="I647" s="25" t="str">
        <f>IFERROR(VLOOKUP(VALUE(B647), 'คำนวณ '!A:U, 21, FALSE), "")</f>
        <v/>
      </c>
      <c r="J647" s="26" t="str">
        <f>IFERROR(VLOOKUP(VALUE(B647), 'คำนวณ '!A:V, 22, FALSE), "")</f>
        <v/>
      </c>
      <c r="K647" s="27" t="s">
        <v>19</v>
      </c>
      <c r="U647" s="26"/>
      <c r="X647" s="26"/>
    </row>
    <row r="648" ht="15.0" customHeight="1">
      <c r="A648" s="11">
        <v>612.0</v>
      </c>
      <c r="B648" s="18" t="s">
        <v>1378</v>
      </c>
      <c r="C648" s="36" t="s">
        <v>1379</v>
      </c>
      <c r="D648" s="39"/>
      <c r="E648" s="40"/>
      <c r="F648" s="41"/>
      <c r="G648" s="23" t="s">
        <v>25</v>
      </c>
      <c r="H648" s="42"/>
      <c r="I648" s="25" t="str">
        <f>IFERROR(VLOOKUP(VALUE(B648), 'คำนวณ '!A:U, 21, FALSE), "")</f>
        <v/>
      </c>
      <c r="J648" s="26" t="str">
        <f>IFERROR(VLOOKUP(VALUE(B648), 'คำนวณ '!A:V, 22, FALSE), "")</f>
        <v/>
      </c>
      <c r="K648" s="27" t="s">
        <v>19</v>
      </c>
      <c r="U648" s="26"/>
      <c r="X648" s="26"/>
    </row>
    <row r="649" ht="15.0" customHeight="1">
      <c r="A649" s="11">
        <v>612.0</v>
      </c>
      <c r="B649" s="18" t="s">
        <v>1380</v>
      </c>
      <c r="C649" s="36" t="s">
        <v>1381</v>
      </c>
      <c r="D649" s="39"/>
      <c r="E649" s="40"/>
      <c r="F649" s="41"/>
      <c r="G649" s="23" t="s">
        <v>25</v>
      </c>
      <c r="H649" s="42"/>
      <c r="I649" s="25" t="str">
        <f>IFERROR(VLOOKUP(VALUE(B649), 'คำนวณ '!A:U, 21, FALSE), "")</f>
        <v/>
      </c>
      <c r="J649" s="26" t="str">
        <f>IFERROR(VLOOKUP(VALUE(B649), 'คำนวณ '!A:V, 22, FALSE), "")</f>
        <v/>
      </c>
      <c r="K649" s="27" t="s">
        <v>19</v>
      </c>
      <c r="U649" s="26"/>
      <c r="X649" s="26"/>
    </row>
    <row r="650" ht="15.0" customHeight="1">
      <c r="A650" s="11">
        <v>612.0</v>
      </c>
      <c r="B650" s="18" t="s">
        <v>1382</v>
      </c>
      <c r="C650" s="36" t="s">
        <v>1383</v>
      </c>
      <c r="D650" s="39"/>
      <c r="E650" s="40"/>
      <c r="F650" s="41"/>
      <c r="G650" s="23" t="s">
        <v>25</v>
      </c>
      <c r="H650" s="42"/>
      <c r="I650" s="25" t="str">
        <f>IFERROR(VLOOKUP(VALUE(B650), 'คำนวณ '!A:U, 21, FALSE), "")</f>
        <v/>
      </c>
      <c r="J650" s="26" t="str">
        <f>IFERROR(VLOOKUP(VALUE(B650), 'คำนวณ '!A:V, 22, FALSE), "")</f>
        <v/>
      </c>
      <c r="K650" s="27" t="s">
        <v>19</v>
      </c>
      <c r="U650" s="26"/>
      <c r="X650" s="26"/>
    </row>
    <row r="651" ht="15.0" customHeight="1">
      <c r="A651" s="11">
        <v>612.0</v>
      </c>
      <c r="B651" s="18" t="s">
        <v>1384</v>
      </c>
      <c r="C651" s="36" t="s">
        <v>1385</v>
      </c>
      <c r="D651" s="39"/>
      <c r="E651" s="40"/>
      <c r="F651" s="41"/>
      <c r="G651" s="23" t="s">
        <v>25</v>
      </c>
      <c r="H651" s="42"/>
      <c r="I651" s="25" t="str">
        <f>IFERROR(VLOOKUP(VALUE(B651), 'คำนวณ '!A:U, 21, FALSE), "")</f>
        <v/>
      </c>
      <c r="J651" s="26" t="str">
        <f>IFERROR(VLOOKUP(VALUE(B651), 'คำนวณ '!A:V, 22, FALSE), "")</f>
        <v/>
      </c>
      <c r="K651" s="27" t="s">
        <v>19</v>
      </c>
      <c r="U651" s="26"/>
      <c r="X651" s="26"/>
    </row>
    <row r="652" ht="15.0" customHeight="1">
      <c r="A652" s="11">
        <v>612.0</v>
      </c>
      <c r="B652" s="18" t="s">
        <v>1386</v>
      </c>
      <c r="C652" s="36" t="s">
        <v>1387</v>
      </c>
      <c r="D652" s="20" t="s">
        <v>16</v>
      </c>
      <c r="E652" s="21" t="s">
        <v>777</v>
      </c>
      <c r="F652" s="22" t="s">
        <v>777</v>
      </c>
      <c r="G652" s="23" t="s">
        <v>25</v>
      </c>
      <c r="H652" s="24" t="s">
        <v>11</v>
      </c>
      <c r="I652" s="25">
        <f>IFERROR(VLOOKUP(VALUE(B652), 'คำนวณ '!A:U, 21, FALSE), "")</f>
        <v>1</v>
      </c>
      <c r="J652" s="26">
        <f>IFERROR(VLOOKUP(VALUE(B652), 'คำนวณ '!A:V, 22, FALSE), "")</f>
        <v>1</v>
      </c>
      <c r="K652" s="27" t="s">
        <v>19</v>
      </c>
      <c r="U652" s="26"/>
      <c r="X652" s="26"/>
    </row>
    <row r="653" ht="15.0" customHeight="1">
      <c r="A653" s="11">
        <v>612.0</v>
      </c>
      <c r="B653" s="18" t="s">
        <v>1388</v>
      </c>
      <c r="C653" s="36" t="s">
        <v>1389</v>
      </c>
      <c r="D653" s="20" t="s">
        <v>16</v>
      </c>
      <c r="E653" s="21">
        <v>8.0</v>
      </c>
      <c r="F653" s="22" t="s">
        <v>1390</v>
      </c>
      <c r="G653" s="23" t="s">
        <v>20</v>
      </c>
      <c r="H653" s="24" t="s">
        <v>11</v>
      </c>
      <c r="I653" s="25">
        <f>IFERROR(VLOOKUP(VALUE(B653), 'คำนวณ '!A:U, 21, FALSE), "")</f>
        <v>1</v>
      </c>
      <c r="J653" s="26">
        <f>IFERROR(VLOOKUP(VALUE(B653), 'คำนวณ '!A:V, 22, FALSE), "")</f>
        <v>1</v>
      </c>
      <c r="K653" s="47" t="s">
        <v>10</v>
      </c>
      <c r="U653" s="26"/>
      <c r="X653" s="26"/>
    </row>
    <row r="654" ht="15.0" customHeight="1">
      <c r="A654" s="11">
        <v>612.0</v>
      </c>
      <c r="B654" s="18" t="s">
        <v>1391</v>
      </c>
      <c r="C654" s="36" t="s">
        <v>1392</v>
      </c>
      <c r="D654" s="39"/>
      <c r="E654" s="40"/>
      <c r="F654" s="41"/>
      <c r="G654" s="23" t="s">
        <v>25</v>
      </c>
      <c r="H654" s="42"/>
      <c r="I654" s="25" t="str">
        <f>IFERROR(VLOOKUP(VALUE(B654), 'คำนวณ '!A:U, 21, FALSE), "")</f>
        <v/>
      </c>
      <c r="J654" s="26" t="str">
        <f>IFERROR(VLOOKUP(VALUE(B654), 'คำนวณ '!A:V, 22, FALSE), "")</f>
        <v/>
      </c>
      <c r="K654" s="27" t="s">
        <v>19</v>
      </c>
      <c r="U654" s="26"/>
      <c r="X654" s="26"/>
    </row>
    <row r="655" ht="15.0" customHeight="1">
      <c r="A655" s="11">
        <v>612.0</v>
      </c>
      <c r="B655" s="18" t="s">
        <v>1393</v>
      </c>
      <c r="C655" s="36" t="s">
        <v>1394</v>
      </c>
      <c r="D655" s="20" t="s">
        <v>16</v>
      </c>
      <c r="E655" s="21">
        <v>4.0</v>
      </c>
      <c r="F655" s="22" t="s">
        <v>38</v>
      </c>
      <c r="G655" s="23" t="s">
        <v>25</v>
      </c>
      <c r="H655" s="24" t="s">
        <v>11</v>
      </c>
      <c r="I655" s="25">
        <f>IFERROR(VLOOKUP(VALUE(B655), 'คำนวณ '!A:U, 21, FALSE), "")</f>
        <v>1</v>
      </c>
      <c r="J655" s="26" t="str">
        <f>IFERROR(VLOOKUP(VALUE(B655), 'คำนวณ '!A:V, 22, FALSE), "")</f>
        <v/>
      </c>
      <c r="K655" s="27" t="s">
        <v>19</v>
      </c>
      <c r="U655" s="26"/>
      <c r="X655" s="26"/>
    </row>
    <row r="656" ht="15.0" customHeight="1">
      <c r="A656" s="11">
        <v>612.0</v>
      </c>
      <c r="B656" s="18" t="s">
        <v>1395</v>
      </c>
      <c r="C656" s="36" t="s">
        <v>1396</v>
      </c>
      <c r="D656" s="20" t="s">
        <v>16</v>
      </c>
      <c r="E656" s="21">
        <v>4.0</v>
      </c>
      <c r="F656" s="22" t="s">
        <v>1397</v>
      </c>
      <c r="G656" s="23" t="s">
        <v>25</v>
      </c>
      <c r="H656" s="24" t="s">
        <v>11</v>
      </c>
      <c r="I656" s="25">
        <f>IFERROR(VLOOKUP(VALUE(B656), 'คำนวณ '!A:U, 21, FALSE), "")</f>
        <v>1</v>
      </c>
      <c r="J656" s="26">
        <f>IFERROR(VLOOKUP(VALUE(B656), 'คำนวณ '!A:V, 22, FALSE), "")</f>
        <v>1</v>
      </c>
      <c r="K656" s="27" t="s">
        <v>19</v>
      </c>
      <c r="U656" s="26"/>
      <c r="X656" s="26"/>
    </row>
    <row r="657" ht="15.0" customHeight="1">
      <c r="A657" s="11">
        <v>612.0</v>
      </c>
      <c r="B657" s="18" t="s">
        <v>1398</v>
      </c>
      <c r="C657" s="36" t="s">
        <v>1399</v>
      </c>
      <c r="D657" s="20" t="s">
        <v>16</v>
      </c>
      <c r="E657" s="21">
        <v>2.0</v>
      </c>
      <c r="F657" s="22" t="s">
        <v>83</v>
      </c>
      <c r="G657" s="23" t="s">
        <v>25</v>
      </c>
      <c r="H657" s="24" t="s">
        <v>11</v>
      </c>
      <c r="I657" s="25">
        <f>IFERROR(VLOOKUP(VALUE(B657), 'คำนวณ '!A:U, 21, FALSE), "")</f>
        <v>1</v>
      </c>
      <c r="J657" s="26">
        <f>IFERROR(VLOOKUP(VALUE(B657), 'คำนวณ '!A:V, 22, FALSE), "")</f>
        <v>1</v>
      </c>
      <c r="K657" s="27" t="s">
        <v>19</v>
      </c>
      <c r="U657" s="26"/>
      <c r="X657" s="26"/>
    </row>
    <row r="658" ht="15.0" customHeight="1">
      <c r="A658" s="11">
        <v>613.0</v>
      </c>
      <c r="B658" s="18" t="s">
        <v>1400</v>
      </c>
      <c r="C658" s="36" t="s">
        <v>1401</v>
      </c>
      <c r="D658" s="39"/>
      <c r="E658" s="40"/>
      <c r="F658" s="41"/>
      <c r="G658" s="23" t="s">
        <v>25</v>
      </c>
      <c r="H658" s="42"/>
      <c r="I658" s="25" t="str">
        <f>IFERROR(VLOOKUP(VALUE(B658), 'คำนวณ '!A:U, 21, FALSE), "")</f>
        <v/>
      </c>
      <c r="J658" s="26" t="str">
        <f>IFERROR(VLOOKUP(VALUE(B658), 'คำนวณ '!A:V, 22, FALSE), "")</f>
        <v/>
      </c>
      <c r="K658" s="27" t="s">
        <v>19</v>
      </c>
      <c r="U658" s="26"/>
      <c r="X658" s="26"/>
    </row>
    <row r="659" ht="15.0" customHeight="1">
      <c r="A659" s="11">
        <v>613.0</v>
      </c>
      <c r="B659" s="18" t="s">
        <v>1402</v>
      </c>
      <c r="C659" s="36" t="s">
        <v>1403</v>
      </c>
      <c r="D659" s="20" t="s">
        <v>16</v>
      </c>
      <c r="E659" s="21">
        <v>4.0</v>
      </c>
      <c r="F659" s="22" t="s">
        <v>38</v>
      </c>
      <c r="G659" s="23" t="s">
        <v>25</v>
      </c>
      <c r="H659" s="24" t="s">
        <v>11</v>
      </c>
      <c r="I659" s="25">
        <f>IFERROR(VLOOKUP(VALUE(B659), 'คำนวณ '!A:U, 21, FALSE), "")</f>
        <v>1</v>
      </c>
      <c r="J659" s="26">
        <f>IFERROR(VLOOKUP(VALUE(B659), 'คำนวณ '!A:V, 22, FALSE), "")</f>
        <v>1</v>
      </c>
      <c r="K659" s="27" t="s">
        <v>19</v>
      </c>
      <c r="U659" s="26"/>
      <c r="X659" s="26"/>
    </row>
    <row r="660" ht="15.0" customHeight="1">
      <c r="A660" s="11">
        <v>613.0</v>
      </c>
      <c r="B660" s="18" t="s">
        <v>1404</v>
      </c>
      <c r="C660" s="36" t="s">
        <v>1405</v>
      </c>
      <c r="D660" s="39"/>
      <c r="E660" s="40"/>
      <c r="F660" s="41"/>
      <c r="G660" s="23" t="s">
        <v>25</v>
      </c>
      <c r="H660" s="42"/>
      <c r="I660" s="25" t="str">
        <f>IFERROR(VLOOKUP(VALUE(B660), 'คำนวณ '!A:U, 21, FALSE), "")</f>
        <v/>
      </c>
      <c r="J660" s="26" t="str">
        <f>IFERROR(VLOOKUP(VALUE(B660), 'คำนวณ '!A:V, 22, FALSE), "")</f>
        <v/>
      </c>
      <c r="K660" s="27" t="s">
        <v>19</v>
      </c>
      <c r="U660" s="26"/>
      <c r="X660" s="26"/>
    </row>
    <row r="661" ht="15.0" customHeight="1">
      <c r="A661" s="11">
        <v>613.0</v>
      </c>
      <c r="B661" s="18" t="s">
        <v>1406</v>
      </c>
      <c r="C661" s="36" t="s">
        <v>1407</v>
      </c>
      <c r="D661" s="39"/>
      <c r="E661" s="40"/>
      <c r="F661" s="41"/>
      <c r="G661" s="23" t="s">
        <v>25</v>
      </c>
      <c r="H661" s="42"/>
      <c r="I661" s="25" t="str">
        <f>IFERROR(VLOOKUP(VALUE(B661), 'คำนวณ '!A:U, 21, FALSE), "")</f>
        <v/>
      </c>
      <c r="J661" s="26" t="str">
        <f>IFERROR(VLOOKUP(VALUE(B661), 'คำนวณ '!A:V, 22, FALSE), "")</f>
        <v/>
      </c>
      <c r="K661" s="27" t="s">
        <v>19</v>
      </c>
      <c r="U661" s="26"/>
      <c r="X661" s="26"/>
    </row>
    <row r="662" ht="15.0" customHeight="1">
      <c r="A662" s="11">
        <v>613.0</v>
      </c>
      <c r="B662" s="18" t="s">
        <v>1408</v>
      </c>
      <c r="C662" s="36" t="s">
        <v>1409</v>
      </c>
      <c r="D662" s="39"/>
      <c r="E662" s="40"/>
      <c r="F662" s="41"/>
      <c r="G662" s="23" t="s">
        <v>25</v>
      </c>
      <c r="H662" s="42"/>
      <c r="I662" s="25" t="str">
        <f>IFERROR(VLOOKUP(VALUE(B662), 'คำนวณ '!A:U, 21, FALSE), "")</f>
        <v/>
      </c>
      <c r="J662" s="26" t="str">
        <f>IFERROR(VLOOKUP(VALUE(B662), 'คำนวณ '!A:V, 22, FALSE), "")</f>
        <v/>
      </c>
      <c r="K662" s="27" t="s">
        <v>19</v>
      </c>
      <c r="U662" s="26"/>
      <c r="X662" s="26"/>
    </row>
    <row r="663" ht="15.0" customHeight="1">
      <c r="A663" s="11">
        <v>613.0</v>
      </c>
      <c r="B663" s="18" t="s">
        <v>1410</v>
      </c>
      <c r="C663" s="36" t="s">
        <v>1411</v>
      </c>
      <c r="D663" s="39"/>
      <c r="E663" s="40"/>
      <c r="F663" s="41"/>
      <c r="G663" s="23" t="s">
        <v>25</v>
      </c>
      <c r="H663" s="42"/>
      <c r="I663" s="25" t="str">
        <f>IFERROR(VLOOKUP(VALUE(B663), 'คำนวณ '!A:U, 21, FALSE), "")</f>
        <v/>
      </c>
      <c r="J663" s="26" t="str">
        <f>IFERROR(VLOOKUP(VALUE(B663), 'คำนวณ '!A:V, 22, FALSE), "")</f>
        <v/>
      </c>
      <c r="K663" s="27" t="s">
        <v>19</v>
      </c>
      <c r="U663" s="26"/>
      <c r="X663" s="26"/>
    </row>
    <row r="664" ht="15.0" customHeight="1">
      <c r="A664" s="11">
        <v>613.0</v>
      </c>
      <c r="B664" s="18" t="s">
        <v>1412</v>
      </c>
      <c r="C664" s="36" t="s">
        <v>1413</v>
      </c>
      <c r="D664" s="20" t="s">
        <v>80</v>
      </c>
      <c r="E664" s="21">
        <v>4.0</v>
      </c>
      <c r="F664" s="22" t="s">
        <v>38</v>
      </c>
      <c r="G664" s="23" t="s">
        <v>25</v>
      </c>
      <c r="H664" s="24" t="s">
        <v>11</v>
      </c>
      <c r="I664" s="25">
        <f>IFERROR(VLOOKUP(VALUE(B664), 'คำนวณ '!A:U, 21, FALSE), "")</f>
        <v>1</v>
      </c>
      <c r="J664" s="26">
        <f>IFERROR(VLOOKUP(VALUE(B664), 'คำนวณ '!A:V, 22, FALSE), "")</f>
        <v>1</v>
      </c>
      <c r="K664" s="27" t="s">
        <v>19</v>
      </c>
      <c r="U664" s="26"/>
      <c r="X664" s="26"/>
    </row>
    <row r="665" ht="15.0" customHeight="1">
      <c r="A665" s="11">
        <v>613.0</v>
      </c>
      <c r="B665" s="18" t="s">
        <v>1414</v>
      </c>
      <c r="C665" s="36" t="s">
        <v>1415</v>
      </c>
      <c r="D665" s="39"/>
      <c r="E665" s="40"/>
      <c r="F665" s="41"/>
      <c r="G665" s="23" t="s">
        <v>25</v>
      </c>
      <c r="H665" s="42"/>
      <c r="I665" s="25" t="str">
        <f>IFERROR(VLOOKUP(VALUE(B665), 'คำนวณ '!A:U, 21, FALSE), "")</f>
        <v/>
      </c>
      <c r="J665" s="26" t="str">
        <f>IFERROR(VLOOKUP(VALUE(B665), 'คำนวณ '!A:V, 22, FALSE), "")</f>
        <v/>
      </c>
      <c r="K665" s="27" t="s">
        <v>19</v>
      </c>
      <c r="U665" s="26"/>
      <c r="X665" s="26"/>
    </row>
    <row r="666" ht="15.0" customHeight="1">
      <c r="A666" s="11">
        <v>613.0</v>
      </c>
      <c r="B666" s="18" t="s">
        <v>1416</v>
      </c>
      <c r="C666" s="36" t="s">
        <v>1417</v>
      </c>
      <c r="D666" s="39"/>
      <c r="E666" s="40"/>
      <c r="F666" s="41"/>
      <c r="G666" s="23" t="s">
        <v>25</v>
      </c>
      <c r="H666" s="42"/>
      <c r="I666" s="25" t="str">
        <f>IFERROR(VLOOKUP(VALUE(B666), 'คำนวณ '!A:U, 21, FALSE), "")</f>
        <v/>
      </c>
      <c r="J666" s="26" t="str">
        <f>IFERROR(VLOOKUP(VALUE(B666), 'คำนวณ '!A:V, 22, FALSE), "")</f>
        <v/>
      </c>
      <c r="K666" s="27" t="s">
        <v>19</v>
      </c>
      <c r="U666" s="26"/>
      <c r="X666" s="26"/>
    </row>
    <row r="667" ht="15.0" customHeight="1">
      <c r="A667" s="11">
        <v>613.0</v>
      </c>
      <c r="B667" s="18" t="s">
        <v>1418</v>
      </c>
      <c r="C667" s="36" t="s">
        <v>1419</v>
      </c>
      <c r="D667" s="20" t="s">
        <v>80</v>
      </c>
      <c r="E667" s="21">
        <v>4.0</v>
      </c>
      <c r="F667" s="22" t="s">
        <v>38</v>
      </c>
      <c r="G667" s="23" t="s">
        <v>25</v>
      </c>
      <c r="H667" s="24" t="s">
        <v>11</v>
      </c>
      <c r="I667" s="25">
        <f>IFERROR(VLOOKUP(VALUE(B667), 'คำนวณ '!A:U, 21, FALSE), "")</f>
        <v>1</v>
      </c>
      <c r="J667" s="26" t="str">
        <f>IFERROR(VLOOKUP(VALUE(B667), 'คำนวณ '!A:V, 22, FALSE), "")</f>
        <v/>
      </c>
      <c r="K667" s="27" t="s">
        <v>19</v>
      </c>
      <c r="U667" s="26"/>
      <c r="X667" s="26"/>
    </row>
    <row r="668" ht="15.0" customHeight="1">
      <c r="A668" s="11">
        <v>614.0</v>
      </c>
      <c r="B668" s="18" t="s">
        <v>1420</v>
      </c>
      <c r="C668" s="36" t="s">
        <v>1421</v>
      </c>
      <c r="D668" s="20" t="s">
        <v>87</v>
      </c>
      <c r="E668" s="21">
        <v>6.0</v>
      </c>
      <c r="F668" s="22" t="s">
        <v>1422</v>
      </c>
      <c r="G668" s="23" t="s">
        <v>25</v>
      </c>
      <c r="H668" s="24" t="s">
        <v>11</v>
      </c>
      <c r="I668" s="25">
        <f>IFERROR(VLOOKUP(VALUE(B668), 'คำนวณ '!A:U, 21, FALSE), "")</f>
        <v>1</v>
      </c>
      <c r="J668" s="26">
        <f>IFERROR(VLOOKUP(VALUE(B668), 'คำนวณ '!A:V, 22, FALSE), "")</f>
        <v>1</v>
      </c>
      <c r="K668" s="27" t="s">
        <v>19</v>
      </c>
      <c r="U668" s="26"/>
      <c r="X668" s="26"/>
    </row>
    <row r="669" ht="15.0" customHeight="1">
      <c r="A669" s="11">
        <v>614.0</v>
      </c>
      <c r="B669" s="18" t="s">
        <v>1423</v>
      </c>
      <c r="C669" s="36" t="s">
        <v>1424</v>
      </c>
      <c r="D669" s="39"/>
      <c r="E669" s="40"/>
      <c r="F669" s="41"/>
      <c r="G669" s="23" t="s">
        <v>25</v>
      </c>
      <c r="H669" s="42"/>
      <c r="I669" s="25" t="str">
        <f>IFERROR(VLOOKUP(VALUE(B669), 'คำนวณ '!A:U, 21, FALSE), "")</f>
        <v/>
      </c>
      <c r="J669" s="26" t="str">
        <f>IFERROR(VLOOKUP(VALUE(B669), 'คำนวณ '!A:V, 22, FALSE), "")</f>
        <v/>
      </c>
      <c r="K669" s="27" t="s">
        <v>19</v>
      </c>
      <c r="U669" s="26"/>
      <c r="X669" s="26"/>
    </row>
    <row r="670" ht="15.0" customHeight="1">
      <c r="A670" s="11">
        <v>614.0</v>
      </c>
      <c r="B670" s="18" t="s">
        <v>1425</v>
      </c>
      <c r="C670" s="36" t="s">
        <v>1426</v>
      </c>
      <c r="D670" s="39"/>
      <c r="E670" s="40"/>
      <c r="F670" s="41"/>
      <c r="G670" s="23" t="s">
        <v>25</v>
      </c>
      <c r="H670" s="42"/>
      <c r="I670" s="25" t="str">
        <f>IFERROR(VLOOKUP(VALUE(B670), 'คำนวณ '!A:U, 21, FALSE), "")</f>
        <v/>
      </c>
      <c r="J670" s="26" t="str">
        <f>IFERROR(VLOOKUP(VALUE(B670), 'คำนวณ '!A:V, 22, FALSE), "")</f>
        <v/>
      </c>
      <c r="K670" s="27" t="s">
        <v>19</v>
      </c>
      <c r="U670" s="26"/>
      <c r="X670" s="26"/>
    </row>
    <row r="671" ht="15.0" customHeight="1">
      <c r="A671" s="11">
        <v>614.0</v>
      </c>
      <c r="B671" s="18" t="s">
        <v>1427</v>
      </c>
      <c r="C671" s="36" t="s">
        <v>1428</v>
      </c>
      <c r="D671" s="39"/>
      <c r="E671" s="40"/>
      <c r="F671" s="41"/>
      <c r="G671" s="23" t="s">
        <v>25</v>
      </c>
      <c r="H671" s="42"/>
      <c r="I671" s="25" t="str">
        <f>IFERROR(VLOOKUP(VALUE(B671), 'คำนวณ '!A:U, 21, FALSE), "")</f>
        <v/>
      </c>
      <c r="J671" s="26" t="str">
        <f>IFERROR(VLOOKUP(VALUE(B671), 'คำนวณ '!A:V, 22, FALSE), "")</f>
        <v/>
      </c>
      <c r="K671" s="27" t="s">
        <v>19</v>
      </c>
      <c r="U671" s="26"/>
      <c r="X671" s="26"/>
    </row>
    <row r="672" ht="15.0" customHeight="1">
      <c r="A672" s="11">
        <v>614.0</v>
      </c>
      <c r="B672" s="18" t="s">
        <v>1429</v>
      </c>
      <c r="C672" s="36" t="s">
        <v>1430</v>
      </c>
      <c r="D672" s="39"/>
      <c r="E672" s="40"/>
      <c r="F672" s="41"/>
      <c r="G672" s="23" t="s">
        <v>25</v>
      </c>
      <c r="H672" s="42"/>
      <c r="I672" s="25" t="str">
        <f>IFERROR(VLOOKUP(VALUE(B672), 'คำนวณ '!A:U, 21, FALSE), "")</f>
        <v/>
      </c>
      <c r="J672" s="26" t="str">
        <f>IFERROR(VLOOKUP(VALUE(B672), 'คำนวณ '!A:V, 22, FALSE), "")</f>
        <v/>
      </c>
      <c r="K672" s="27" t="s">
        <v>19</v>
      </c>
      <c r="U672" s="26"/>
      <c r="X672" s="26"/>
    </row>
    <row r="673" ht="15.75" customHeight="1">
      <c r="A673" s="11">
        <v>615.0</v>
      </c>
      <c r="B673" s="18" t="s">
        <v>1431</v>
      </c>
      <c r="C673" s="36" t="s">
        <v>1432</v>
      </c>
      <c r="D673" s="20" t="s">
        <v>80</v>
      </c>
      <c r="E673" s="21">
        <v>2.0</v>
      </c>
      <c r="F673" s="22" t="s">
        <v>1433</v>
      </c>
      <c r="G673" s="23" t="s">
        <v>25</v>
      </c>
      <c r="H673" s="24" t="s">
        <v>11</v>
      </c>
      <c r="I673" s="25">
        <f>IFERROR(VLOOKUP(VALUE(B673), 'คำนวณ '!A:U, 21, FALSE), "")</f>
        <v>1</v>
      </c>
      <c r="J673" s="26">
        <f>IFERROR(VLOOKUP(VALUE(B673), 'คำนวณ '!A:V, 22, FALSE), "")</f>
        <v>1</v>
      </c>
      <c r="K673" s="27" t="s">
        <v>19</v>
      </c>
      <c r="U673" s="26"/>
      <c r="X673" s="26"/>
    </row>
    <row r="674" ht="15.0" customHeight="1">
      <c r="A674" s="11">
        <v>615.0</v>
      </c>
      <c r="B674" s="18" t="s">
        <v>1434</v>
      </c>
      <c r="C674" s="36" t="s">
        <v>1435</v>
      </c>
      <c r="D674" s="20" t="s">
        <v>80</v>
      </c>
      <c r="E674" s="21">
        <v>4.0</v>
      </c>
      <c r="F674" s="22" t="s">
        <v>38</v>
      </c>
      <c r="G674" s="23" t="s">
        <v>25</v>
      </c>
      <c r="H674" s="24" t="s">
        <v>11</v>
      </c>
      <c r="I674" s="25">
        <f>IFERROR(VLOOKUP(VALUE(B674), 'คำนวณ '!A:U, 21, FALSE), "")</f>
        <v>1</v>
      </c>
      <c r="J674" s="26">
        <f>IFERROR(VLOOKUP(VALUE(B674), 'คำนวณ '!A:V, 22, FALSE), "")</f>
        <v>1</v>
      </c>
      <c r="K674" s="27" t="s">
        <v>19</v>
      </c>
      <c r="U674" s="26"/>
      <c r="X674" s="26"/>
    </row>
    <row r="675" ht="15.75" customHeight="1">
      <c r="A675" s="11">
        <v>615.0</v>
      </c>
      <c r="B675" s="18" t="s">
        <v>1436</v>
      </c>
      <c r="C675" s="36" t="s">
        <v>1437</v>
      </c>
      <c r="D675" s="20" t="s">
        <v>80</v>
      </c>
      <c r="E675" s="21">
        <v>2.0</v>
      </c>
      <c r="F675" s="22" t="s">
        <v>1438</v>
      </c>
      <c r="G675" s="23" t="s">
        <v>25</v>
      </c>
      <c r="H675" s="24" t="s">
        <v>11</v>
      </c>
      <c r="I675" s="25">
        <f>IFERROR(VLOOKUP(VALUE(B675), 'คำนวณ '!A:U, 21, FALSE), "")</f>
        <v>1</v>
      </c>
      <c r="J675" s="26">
        <f>IFERROR(VLOOKUP(VALUE(B675), 'คำนวณ '!A:V, 22, FALSE), "")</f>
        <v>1</v>
      </c>
      <c r="K675" s="27" t="s">
        <v>19</v>
      </c>
      <c r="U675" s="26"/>
      <c r="X675" s="26"/>
    </row>
    <row r="676" ht="15.0" customHeight="1">
      <c r="A676" s="11">
        <v>615.0</v>
      </c>
      <c r="B676" s="18" t="s">
        <v>1439</v>
      </c>
      <c r="C676" s="36" t="s">
        <v>1440</v>
      </c>
      <c r="D676" s="20" t="s">
        <v>80</v>
      </c>
      <c r="E676" s="21" t="s">
        <v>777</v>
      </c>
      <c r="F676" s="22" t="s">
        <v>777</v>
      </c>
      <c r="G676" s="23" t="s">
        <v>25</v>
      </c>
      <c r="H676" s="24" t="s">
        <v>11</v>
      </c>
      <c r="I676" s="25">
        <f>IFERROR(VLOOKUP(VALUE(B676), 'คำนวณ '!A:U, 21, FALSE), "")</f>
        <v>1</v>
      </c>
      <c r="J676" s="26">
        <f>IFERROR(VLOOKUP(VALUE(B676), 'คำนวณ '!A:V, 22, FALSE), "")</f>
        <v>1</v>
      </c>
      <c r="K676" s="27" t="s">
        <v>19</v>
      </c>
      <c r="U676" s="26"/>
      <c r="X676" s="26"/>
    </row>
    <row r="677" ht="15.0" customHeight="1">
      <c r="A677" s="11">
        <v>615.0</v>
      </c>
      <c r="B677" s="18" t="s">
        <v>1441</v>
      </c>
      <c r="C677" s="36" t="s">
        <v>1442</v>
      </c>
      <c r="D677" s="20" t="s">
        <v>80</v>
      </c>
      <c r="E677" s="21" t="s">
        <v>777</v>
      </c>
      <c r="F677" s="22" t="s">
        <v>777</v>
      </c>
      <c r="G677" s="23" t="s">
        <v>25</v>
      </c>
      <c r="H677" s="24" t="s">
        <v>11</v>
      </c>
      <c r="I677" s="25">
        <f>IFERROR(VLOOKUP(VALUE(B677), 'คำนวณ '!A:U, 21, FALSE), "")</f>
        <v>1</v>
      </c>
      <c r="J677" s="26">
        <f>IFERROR(VLOOKUP(VALUE(B677), 'คำนวณ '!A:V, 22, FALSE), "")</f>
        <v>1</v>
      </c>
      <c r="K677" s="27" t="s">
        <v>19</v>
      </c>
      <c r="U677" s="26"/>
      <c r="X677" s="26"/>
    </row>
    <row r="678" ht="15.0" customHeight="1">
      <c r="A678" s="11">
        <v>615.0</v>
      </c>
      <c r="B678" s="18" t="s">
        <v>1443</v>
      </c>
      <c r="C678" s="36" t="s">
        <v>1444</v>
      </c>
      <c r="D678" s="20" t="s">
        <v>80</v>
      </c>
      <c r="E678" s="21">
        <v>2.0</v>
      </c>
      <c r="F678" s="22" t="s">
        <v>1445</v>
      </c>
      <c r="G678" s="23" t="s">
        <v>25</v>
      </c>
      <c r="H678" s="24" t="s">
        <v>11</v>
      </c>
      <c r="I678" s="25">
        <f>IFERROR(VLOOKUP(VALUE(B678), 'คำนวณ '!A:U, 21, FALSE), "")</f>
        <v>1</v>
      </c>
      <c r="J678" s="26">
        <f>IFERROR(VLOOKUP(VALUE(B678), 'คำนวณ '!A:V, 22, FALSE), "")</f>
        <v>1</v>
      </c>
      <c r="K678" s="27" t="s">
        <v>19</v>
      </c>
      <c r="U678" s="26"/>
      <c r="X678" s="26"/>
    </row>
    <row r="679" ht="15.0" customHeight="1">
      <c r="A679" s="11">
        <v>621.0</v>
      </c>
      <c r="B679" s="18" t="s">
        <v>1446</v>
      </c>
      <c r="C679" s="36" t="s">
        <v>1447</v>
      </c>
      <c r="D679" s="20" t="s">
        <v>80</v>
      </c>
      <c r="E679" s="21">
        <v>2.0</v>
      </c>
      <c r="F679" s="22" t="s">
        <v>83</v>
      </c>
      <c r="G679" s="23" t="s">
        <v>25</v>
      </c>
      <c r="H679" s="24" t="s">
        <v>11</v>
      </c>
      <c r="I679" s="25">
        <f>IFERROR(VLOOKUP(VALUE(B679), 'คำนวณ '!A:U, 21, FALSE), "")</f>
        <v>1</v>
      </c>
      <c r="J679" s="26">
        <f>IFERROR(VLOOKUP(VALUE(B679), 'คำนวณ '!A:V, 22, FALSE), "")</f>
        <v>1</v>
      </c>
      <c r="K679" s="27" t="s">
        <v>19</v>
      </c>
      <c r="U679" s="26"/>
      <c r="X679" s="26"/>
    </row>
    <row r="680" ht="15.0" customHeight="1">
      <c r="A680" s="11">
        <v>621.0</v>
      </c>
      <c r="B680" s="18" t="s">
        <v>1448</v>
      </c>
      <c r="C680" s="36" t="s">
        <v>1449</v>
      </c>
      <c r="D680" s="20" t="s">
        <v>80</v>
      </c>
      <c r="E680" s="21">
        <v>2.0</v>
      </c>
      <c r="F680" s="22" t="s">
        <v>83</v>
      </c>
      <c r="G680" s="23" t="s">
        <v>25</v>
      </c>
      <c r="H680" s="24" t="s">
        <v>11</v>
      </c>
      <c r="I680" s="25">
        <f>IFERROR(VLOOKUP(VALUE(B680), 'คำนวณ '!A:U, 21, FALSE), "")</f>
        <v>1</v>
      </c>
      <c r="J680" s="26">
        <f>IFERROR(VLOOKUP(VALUE(B680), 'คำนวณ '!A:V, 22, FALSE), "")</f>
        <v>1</v>
      </c>
      <c r="K680" s="27" t="s">
        <v>19</v>
      </c>
      <c r="U680" s="26"/>
      <c r="X680" s="26"/>
    </row>
    <row r="681" ht="15.0" customHeight="1">
      <c r="A681" s="11">
        <v>621.0</v>
      </c>
      <c r="B681" s="18" t="s">
        <v>1450</v>
      </c>
      <c r="C681" s="36" t="s">
        <v>1451</v>
      </c>
      <c r="D681" s="20" t="s">
        <v>80</v>
      </c>
      <c r="E681" s="21">
        <v>2.0</v>
      </c>
      <c r="F681" s="22" t="s">
        <v>83</v>
      </c>
      <c r="G681" s="23" t="s">
        <v>25</v>
      </c>
      <c r="H681" s="24" t="s">
        <v>11</v>
      </c>
      <c r="I681" s="25">
        <f>IFERROR(VLOOKUP(VALUE(B681), 'คำนวณ '!A:U, 21, FALSE), "")</f>
        <v>1</v>
      </c>
      <c r="J681" s="26">
        <f>IFERROR(VLOOKUP(VALUE(B681), 'คำนวณ '!A:V, 22, FALSE), "")</f>
        <v>1</v>
      </c>
      <c r="K681" s="27" t="s">
        <v>19</v>
      </c>
      <c r="U681" s="26"/>
      <c r="X681" s="26"/>
    </row>
    <row r="682" ht="15.0" customHeight="1">
      <c r="A682" s="11">
        <v>621.0</v>
      </c>
      <c r="B682" s="18" t="s">
        <v>1452</v>
      </c>
      <c r="C682" s="36" t="s">
        <v>1453</v>
      </c>
      <c r="D682" s="20" t="s">
        <v>80</v>
      </c>
      <c r="E682" s="21">
        <v>2.0</v>
      </c>
      <c r="F682" s="22" t="s">
        <v>83</v>
      </c>
      <c r="G682" s="23" t="s">
        <v>25</v>
      </c>
      <c r="H682" s="24" t="s">
        <v>11</v>
      </c>
      <c r="I682" s="25">
        <f>IFERROR(VLOOKUP(VALUE(B682), 'คำนวณ '!A:U, 21, FALSE), "")</f>
        <v>1</v>
      </c>
      <c r="J682" s="26">
        <f>IFERROR(VLOOKUP(VALUE(B682), 'คำนวณ '!A:V, 22, FALSE), "")</f>
        <v>1</v>
      </c>
      <c r="K682" s="27" t="s">
        <v>19</v>
      </c>
      <c r="U682" s="26"/>
      <c r="X682" s="26"/>
    </row>
    <row r="683" ht="15.0" customHeight="1">
      <c r="A683" s="11">
        <v>621.0</v>
      </c>
      <c r="B683" s="18" t="s">
        <v>1454</v>
      </c>
      <c r="C683" s="36" t="s">
        <v>1455</v>
      </c>
      <c r="D683" s="20" t="s">
        <v>80</v>
      </c>
      <c r="E683" s="21">
        <v>2.0</v>
      </c>
      <c r="F683" s="22" t="s">
        <v>83</v>
      </c>
      <c r="G683" s="23" t="s">
        <v>25</v>
      </c>
      <c r="H683" s="24" t="s">
        <v>11</v>
      </c>
      <c r="I683" s="25">
        <f>IFERROR(VLOOKUP(VALUE(B683), 'คำนวณ '!A:U, 21, FALSE), "")</f>
        <v>1</v>
      </c>
      <c r="J683" s="26">
        <f>IFERROR(VLOOKUP(VALUE(B683), 'คำนวณ '!A:V, 22, FALSE), "")</f>
        <v>1</v>
      </c>
      <c r="K683" s="27" t="s">
        <v>19</v>
      </c>
      <c r="U683" s="26"/>
      <c r="X683" s="26"/>
    </row>
    <row r="684" ht="15.0" customHeight="1">
      <c r="A684" s="11">
        <v>621.0</v>
      </c>
      <c r="B684" s="18" t="s">
        <v>1456</v>
      </c>
      <c r="C684" s="36" t="s">
        <v>1457</v>
      </c>
      <c r="D684" s="20" t="s">
        <v>80</v>
      </c>
      <c r="E684" s="21">
        <v>2.0</v>
      </c>
      <c r="F684" s="22" t="s">
        <v>83</v>
      </c>
      <c r="G684" s="23" t="s">
        <v>25</v>
      </c>
      <c r="H684" s="24" t="s">
        <v>11</v>
      </c>
      <c r="I684" s="25">
        <f>IFERROR(VLOOKUP(VALUE(B684), 'คำนวณ '!A:U, 21, FALSE), "")</f>
        <v>1</v>
      </c>
      <c r="J684" s="26" t="str">
        <f>IFERROR(VLOOKUP(VALUE(B684), 'คำนวณ '!A:V, 22, FALSE), "")</f>
        <v/>
      </c>
      <c r="K684" s="27" t="s">
        <v>19</v>
      </c>
      <c r="U684" s="26"/>
      <c r="X684" s="26"/>
    </row>
    <row r="685" ht="15.0" customHeight="1">
      <c r="A685" s="11">
        <v>621.0</v>
      </c>
      <c r="B685" s="18" t="s">
        <v>1458</v>
      </c>
      <c r="C685" s="36" t="s">
        <v>1459</v>
      </c>
      <c r="D685" s="20" t="s">
        <v>80</v>
      </c>
      <c r="E685" s="21">
        <v>2.0</v>
      </c>
      <c r="F685" s="22" t="s">
        <v>83</v>
      </c>
      <c r="G685" s="23" t="s">
        <v>25</v>
      </c>
      <c r="H685" s="24" t="s">
        <v>11</v>
      </c>
      <c r="I685" s="25">
        <f>IFERROR(VLOOKUP(VALUE(B685), 'คำนวณ '!A:U, 21, FALSE), "")</f>
        <v>1</v>
      </c>
      <c r="J685" s="26">
        <f>IFERROR(VLOOKUP(VALUE(B685), 'คำนวณ '!A:V, 22, FALSE), "")</f>
        <v>1</v>
      </c>
      <c r="K685" s="27" t="s">
        <v>19</v>
      </c>
      <c r="U685" s="26"/>
      <c r="X685" s="26"/>
    </row>
    <row r="686" ht="15.0" customHeight="1">
      <c r="A686" s="11">
        <v>621.0</v>
      </c>
      <c r="B686" s="18" t="s">
        <v>1460</v>
      </c>
      <c r="C686" s="36" t="s">
        <v>1461</v>
      </c>
      <c r="D686" s="20" t="s">
        <v>80</v>
      </c>
      <c r="E686" s="21">
        <v>2.0</v>
      </c>
      <c r="F686" s="22" t="s">
        <v>83</v>
      </c>
      <c r="G686" s="23" t="s">
        <v>25</v>
      </c>
      <c r="H686" s="24" t="s">
        <v>11</v>
      </c>
      <c r="I686" s="25">
        <f>IFERROR(VLOOKUP(VALUE(B686), 'คำนวณ '!A:U, 21, FALSE), "")</f>
        <v>1</v>
      </c>
      <c r="J686" s="26">
        <f>IFERROR(VLOOKUP(VALUE(B686), 'คำนวณ '!A:V, 22, FALSE), "")</f>
        <v>1</v>
      </c>
      <c r="K686" s="27" t="s">
        <v>19</v>
      </c>
      <c r="U686" s="26"/>
      <c r="X686" s="26"/>
    </row>
    <row r="687" ht="15.0" customHeight="1">
      <c r="A687" s="11">
        <v>621.0</v>
      </c>
      <c r="B687" s="18" t="s">
        <v>1462</v>
      </c>
      <c r="C687" s="36" t="s">
        <v>1463</v>
      </c>
      <c r="D687" s="20" t="s">
        <v>80</v>
      </c>
      <c r="E687" s="21">
        <v>2.0</v>
      </c>
      <c r="F687" s="22" t="s">
        <v>83</v>
      </c>
      <c r="G687" s="23" t="s">
        <v>25</v>
      </c>
      <c r="H687" s="24" t="s">
        <v>11</v>
      </c>
      <c r="I687" s="25">
        <f>IFERROR(VLOOKUP(VALUE(B687), 'คำนวณ '!A:U, 21, FALSE), "")</f>
        <v>1</v>
      </c>
      <c r="J687" s="26">
        <f>IFERROR(VLOOKUP(VALUE(B687), 'คำนวณ '!A:V, 22, FALSE), "")</f>
        <v>1</v>
      </c>
      <c r="K687" s="27" t="s">
        <v>19</v>
      </c>
      <c r="U687" s="26"/>
      <c r="X687" s="26"/>
    </row>
    <row r="688" ht="15.0" customHeight="1">
      <c r="A688" s="11">
        <v>622.0</v>
      </c>
      <c r="B688" s="18" t="s">
        <v>1464</v>
      </c>
      <c r="C688" s="36" t="s">
        <v>1465</v>
      </c>
      <c r="D688" s="39"/>
      <c r="E688" s="40"/>
      <c r="F688" s="41"/>
      <c r="G688" s="23" t="s">
        <v>20</v>
      </c>
      <c r="H688" s="42"/>
      <c r="I688" s="25" t="str">
        <f>IFERROR(VLOOKUP(VALUE(B688), 'คำนวณ '!A:U, 21, FALSE), "")</f>
        <v/>
      </c>
      <c r="J688" s="26" t="str">
        <f>IFERROR(VLOOKUP(VALUE(B688), 'คำนวณ '!A:V, 22, FALSE), "")</f>
        <v/>
      </c>
      <c r="K688" s="27" t="s">
        <v>19</v>
      </c>
      <c r="U688" s="26"/>
      <c r="X688" s="26"/>
    </row>
    <row r="689" ht="15.0" customHeight="1">
      <c r="A689" s="11">
        <v>622.0</v>
      </c>
      <c r="B689" s="18" t="s">
        <v>1466</v>
      </c>
      <c r="C689" s="36" t="s">
        <v>1467</v>
      </c>
      <c r="D689" s="39"/>
      <c r="E689" s="40"/>
      <c r="F689" s="41"/>
      <c r="G689" s="23" t="s">
        <v>20</v>
      </c>
      <c r="H689" s="42"/>
      <c r="I689" s="25" t="str">
        <f>IFERROR(VLOOKUP(VALUE(B689), 'คำนวณ '!A:U, 21, FALSE), "")</f>
        <v/>
      </c>
      <c r="J689" s="26" t="str">
        <f>IFERROR(VLOOKUP(VALUE(B689), 'คำนวณ '!A:V, 22, FALSE), "")</f>
        <v/>
      </c>
      <c r="K689" s="27" t="s">
        <v>19</v>
      </c>
      <c r="U689" s="26"/>
      <c r="X689" s="26"/>
    </row>
    <row r="690" ht="15.75" customHeight="1">
      <c r="A690" s="11">
        <v>622.0</v>
      </c>
      <c r="B690" s="18" t="s">
        <v>1468</v>
      </c>
      <c r="C690" s="36" t="s">
        <v>1469</v>
      </c>
      <c r="D690" s="20" t="s">
        <v>80</v>
      </c>
      <c r="E690" s="21">
        <v>1.0</v>
      </c>
      <c r="F690" s="22" t="s">
        <v>774</v>
      </c>
      <c r="G690" s="23" t="s">
        <v>20</v>
      </c>
      <c r="H690" s="24" t="s">
        <v>11</v>
      </c>
      <c r="I690" s="25">
        <f>IFERROR(VLOOKUP(VALUE(B690), 'คำนวณ '!A:U, 21, FALSE), "")</f>
        <v>1</v>
      </c>
      <c r="J690" s="26">
        <f>IFERROR(VLOOKUP(VALUE(B690), 'คำนวณ '!A:V, 22, FALSE), "")</f>
        <v>1</v>
      </c>
      <c r="K690" s="27" t="s">
        <v>19</v>
      </c>
      <c r="U690" s="26"/>
      <c r="X690" s="26"/>
    </row>
    <row r="691" ht="15.0" customHeight="1">
      <c r="A691" s="11">
        <v>622.0</v>
      </c>
      <c r="B691" s="18" t="s">
        <v>1470</v>
      </c>
      <c r="C691" s="36" t="s">
        <v>1471</v>
      </c>
      <c r="D691" s="39"/>
      <c r="E691" s="40"/>
      <c r="F691" s="41"/>
      <c r="G691" s="23" t="s">
        <v>25</v>
      </c>
      <c r="H691" s="42"/>
      <c r="I691" s="25" t="str">
        <f>IFERROR(VLOOKUP(VALUE(B691), 'คำนวณ '!A:U, 21, FALSE), "")</f>
        <v/>
      </c>
      <c r="J691" s="26" t="str">
        <f>IFERROR(VLOOKUP(VALUE(B691), 'คำนวณ '!A:V, 22, FALSE), "")</f>
        <v/>
      </c>
      <c r="K691" s="27" t="s">
        <v>19</v>
      </c>
      <c r="U691" s="26"/>
      <c r="X691" s="26"/>
    </row>
    <row r="692" ht="15.0" customHeight="1">
      <c r="A692" s="11">
        <v>622.0</v>
      </c>
      <c r="B692" s="18" t="s">
        <v>1472</v>
      </c>
      <c r="C692" s="36" t="s">
        <v>1473</v>
      </c>
      <c r="D692" s="39"/>
      <c r="E692" s="40"/>
      <c r="F692" s="41"/>
      <c r="G692" s="23" t="s">
        <v>20</v>
      </c>
      <c r="H692" s="42"/>
      <c r="I692" s="25" t="str">
        <f>IFERROR(VLOOKUP(VALUE(B692), 'คำนวณ '!A:U, 21, FALSE), "")</f>
        <v/>
      </c>
      <c r="J692" s="26" t="str">
        <f>IFERROR(VLOOKUP(VALUE(B692), 'คำนวณ '!A:V, 22, FALSE), "")</f>
        <v/>
      </c>
      <c r="K692" s="27" t="s">
        <v>19</v>
      </c>
      <c r="U692" s="26"/>
      <c r="X692" s="26"/>
    </row>
    <row r="693" ht="15.0" customHeight="1">
      <c r="A693" s="11">
        <v>622.0</v>
      </c>
      <c r="B693" s="18" t="s">
        <v>1474</v>
      </c>
      <c r="C693" s="36" t="s">
        <v>1475</v>
      </c>
      <c r="D693" s="39"/>
      <c r="E693" s="40"/>
      <c r="F693" s="41"/>
      <c r="G693" s="23" t="s">
        <v>20</v>
      </c>
      <c r="H693" s="42"/>
      <c r="I693" s="25" t="str">
        <f>IFERROR(VLOOKUP(VALUE(B693), 'คำนวณ '!A:U, 21, FALSE), "")</f>
        <v/>
      </c>
      <c r="J693" s="26" t="str">
        <f>IFERROR(VLOOKUP(VALUE(B693), 'คำนวณ '!A:V, 22, FALSE), "")</f>
        <v/>
      </c>
      <c r="K693" s="27" t="s">
        <v>19</v>
      </c>
      <c r="U693" s="26"/>
      <c r="X693" s="26"/>
    </row>
    <row r="694" ht="15.0" customHeight="1">
      <c r="A694" s="11">
        <v>622.0</v>
      </c>
      <c r="B694" s="18" t="s">
        <v>1476</v>
      </c>
      <c r="C694" s="36" t="s">
        <v>1477</v>
      </c>
      <c r="D694" s="39"/>
      <c r="E694" s="40"/>
      <c r="F694" s="41"/>
      <c r="G694" s="23" t="s">
        <v>20</v>
      </c>
      <c r="H694" s="42"/>
      <c r="I694" s="25" t="str">
        <f>IFERROR(VLOOKUP(VALUE(B694), 'คำนวณ '!A:U, 21, FALSE), "")</f>
        <v/>
      </c>
      <c r="J694" s="26" t="str">
        <f>IFERROR(VLOOKUP(VALUE(B694), 'คำนวณ '!A:V, 22, FALSE), "")</f>
        <v/>
      </c>
      <c r="K694" s="27" t="s">
        <v>19</v>
      </c>
      <c r="U694" s="26"/>
      <c r="X694" s="26"/>
    </row>
    <row r="695" ht="15.0" customHeight="1">
      <c r="A695" s="11">
        <v>622.0</v>
      </c>
      <c r="B695" s="18" t="s">
        <v>1478</v>
      </c>
      <c r="C695" s="36" t="s">
        <v>1479</v>
      </c>
      <c r="D695" s="39"/>
      <c r="E695" s="40"/>
      <c r="F695" s="41"/>
      <c r="G695" s="23" t="s">
        <v>20</v>
      </c>
      <c r="H695" s="42"/>
      <c r="I695" s="25" t="str">
        <f>IFERROR(VLOOKUP(VALUE(B695), 'คำนวณ '!A:U, 21, FALSE), "")</f>
        <v/>
      </c>
      <c r="J695" s="26" t="str">
        <f>IFERROR(VLOOKUP(VALUE(B695), 'คำนวณ '!A:V, 22, FALSE), "")</f>
        <v/>
      </c>
      <c r="K695" s="27" t="s">
        <v>19</v>
      </c>
      <c r="U695" s="26"/>
      <c r="X695" s="26"/>
    </row>
    <row r="696" ht="15.0" customHeight="1">
      <c r="A696" s="11">
        <v>622.0</v>
      </c>
      <c r="B696" s="18" t="s">
        <v>1480</v>
      </c>
      <c r="C696" s="36" t="s">
        <v>1471</v>
      </c>
      <c r="D696" s="39"/>
      <c r="E696" s="40"/>
      <c r="F696" s="41"/>
      <c r="G696" s="23" t="s">
        <v>20</v>
      </c>
      <c r="H696" s="42"/>
      <c r="I696" s="25" t="str">
        <f>IFERROR(VLOOKUP(VALUE(B696), 'คำนวณ '!A:U, 21, FALSE), "")</f>
        <v/>
      </c>
      <c r="J696" s="26" t="str">
        <f>IFERROR(VLOOKUP(VALUE(B696), 'คำนวณ '!A:V, 22, FALSE), "")</f>
        <v/>
      </c>
      <c r="K696" s="27" t="s">
        <v>19</v>
      </c>
      <c r="U696" s="26"/>
      <c r="X696" s="26"/>
    </row>
    <row r="697" ht="15.0" customHeight="1">
      <c r="A697" s="11">
        <v>622.0</v>
      </c>
      <c r="B697" s="18" t="s">
        <v>1481</v>
      </c>
      <c r="C697" s="36" t="s">
        <v>1482</v>
      </c>
      <c r="D697" s="39"/>
      <c r="E697" s="40"/>
      <c r="F697" s="41"/>
      <c r="G697" s="23" t="s">
        <v>20</v>
      </c>
      <c r="H697" s="42"/>
      <c r="I697" s="25" t="str">
        <f>IFERROR(VLOOKUP(VALUE(B697), 'คำนวณ '!A:U, 21, FALSE), "")</f>
        <v/>
      </c>
      <c r="J697" s="26" t="str">
        <f>IFERROR(VLOOKUP(VALUE(B697), 'คำนวณ '!A:V, 22, FALSE), "")</f>
        <v/>
      </c>
      <c r="K697" s="27" t="s">
        <v>19</v>
      </c>
      <c r="U697" s="26"/>
      <c r="X697" s="26"/>
    </row>
    <row r="698" ht="15.0" customHeight="1">
      <c r="A698" s="11">
        <v>622.0</v>
      </c>
      <c r="B698" s="18" t="s">
        <v>1483</v>
      </c>
      <c r="C698" s="36" t="s">
        <v>1484</v>
      </c>
      <c r="D698" s="20" t="s">
        <v>87</v>
      </c>
      <c r="E698" s="21">
        <v>4.0</v>
      </c>
      <c r="F698" s="22" t="s">
        <v>38</v>
      </c>
      <c r="G698" s="23" t="s">
        <v>20</v>
      </c>
      <c r="H698" s="24" t="s">
        <v>11</v>
      </c>
      <c r="I698" s="25">
        <f>IFERROR(VLOOKUP(VALUE(B698), 'คำนวณ '!A:U, 21, FALSE), "")</f>
        <v>1</v>
      </c>
      <c r="J698" s="26">
        <f>IFERROR(VLOOKUP(VALUE(B698), 'คำนวณ '!A:V, 22, FALSE), "")</f>
        <v>1</v>
      </c>
      <c r="K698" s="27" t="s">
        <v>19</v>
      </c>
      <c r="U698" s="26"/>
      <c r="X698" s="26"/>
    </row>
    <row r="699" ht="15.0" customHeight="1">
      <c r="A699" s="11">
        <v>622.0</v>
      </c>
      <c r="B699" s="18" t="s">
        <v>1485</v>
      </c>
      <c r="C699" s="36" t="s">
        <v>1486</v>
      </c>
      <c r="D699" s="20" t="s">
        <v>87</v>
      </c>
      <c r="E699" s="21">
        <v>4.0</v>
      </c>
      <c r="F699" s="22" t="s">
        <v>38</v>
      </c>
      <c r="G699" s="23" t="s">
        <v>20</v>
      </c>
      <c r="H699" s="24" t="s">
        <v>11</v>
      </c>
      <c r="I699" s="25">
        <f>IFERROR(VLOOKUP(VALUE(B699), 'คำนวณ '!A:U, 21, FALSE), "")</f>
        <v>1</v>
      </c>
      <c r="J699" s="26">
        <f>IFERROR(VLOOKUP(VALUE(B699), 'คำนวณ '!A:V, 22, FALSE), "")</f>
        <v>1</v>
      </c>
      <c r="K699" s="27" t="s">
        <v>19</v>
      </c>
      <c r="U699" s="26"/>
      <c r="X699" s="26"/>
    </row>
    <row r="700" ht="15.0" customHeight="1">
      <c r="A700" s="11">
        <v>622.0</v>
      </c>
      <c r="B700" s="18" t="s">
        <v>1487</v>
      </c>
      <c r="C700" s="36" t="s">
        <v>1488</v>
      </c>
      <c r="D700" s="20" t="s">
        <v>87</v>
      </c>
      <c r="E700" s="21">
        <v>8.0</v>
      </c>
      <c r="F700" s="22" t="s">
        <v>1489</v>
      </c>
      <c r="G700" s="23" t="s">
        <v>20</v>
      </c>
      <c r="H700" s="24" t="s">
        <v>11</v>
      </c>
      <c r="I700" s="25">
        <f>IFERROR(VLOOKUP(VALUE(B700), 'คำนวณ '!A:U, 21, FALSE), "")</f>
        <v>1</v>
      </c>
      <c r="J700" s="26">
        <f>IFERROR(VLOOKUP(VALUE(B700), 'คำนวณ '!A:V, 22, FALSE), "")</f>
        <v>1</v>
      </c>
      <c r="K700" s="27" t="s">
        <v>19</v>
      </c>
      <c r="U700" s="26"/>
      <c r="X700" s="26"/>
    </row>
    <row r="701" ht="15.0" customHeight="1">
      <c r="A701" s="11">
        <v>623.0</v>
      </c>
      <c r="B701" s="18" t="s">
        <v>1490</v>
      </c>
      <c r="C701" s="36" t="s">
        <v>1491</v>
      </c>
      <c r="D701" s="20" t="s">
        <v>87</v>
      </c>
      <c r="E701" s="21">
        <v>2.0</v>
      </c>
      <c r="F701" s="22" t="s">
        <v>83</v>
      </c>
      <c r="G701" s="23" t="s">
        <v>25</v>
      </c>
      <c r="H701" s="24" t="s">
        <v>11</v>
      </c>
      <c r="I701" s="25">
        <f>IFERROR(VLOOKUP(VALUE(B701), 'คำนวณ '!A:U, 21, FALSE), "")</f>
        <v>1</v>
      </c>
      <c r="J701" s="26">
        <f>IFERROR(VLOOKUP(VALUE(B701), 'คำนวณ '!A:V, 22, FALSE), "")</f>
        <v>1</v>
      </c>
      <c r="K701" s="27" t="s">
        <v>19</v>
      </c>
      <c r="U701" s="26"/>
      <c r="X701" s="26"/>
    </row>
    <row r="702" ht="15.0" customHeight="1">
      <c r="A702" s="11">
        <v>631.0</v>
      </c>
      <c r="B702" s="18" t="s">
        <v>1492</v>
      </c>
      <c r="C702" s="36" t="s">
        <v>1493</v>
      </c>
      <c r="D702" s="20" t="s">
        <v>80</v>
      </c>
      <c r="E702" s="21">
        <v>8.0</v>
      </c>
      <c r="F702" s="22" t="s">
        <v>1494</v>
      </c>
      <c r="G702" s="23" t="s">
        <v>20</v>
      </c>
      <c r="H702" s="24" t="s">
        <v>11</v>
      </c>
      <c r="I702" s="25">
        <f>IFERROR(VLOOKUP(VALUE(B702), 'คำนวณ '!A:U, 21, FALSE), "")</f>
        <v>1</v>
      </c>
      <c r="J702" s="26">
        <f>IFERROR(VLOOKUP(VALUE(B702), 'คำนวณ '!A:V, 22, FALSE), "")</f>
        <v>1</v>
      </c>
      <c r="K702" s="27" t="s">
        <v>19</v>
      </c>
      <c r="U702" s="26"/>
      <c r="X702" s="26"/>
    </row>
    <row r="703" ht="15.0" customHeight="1">
      <c r="A703" s="11">
        <v>631.0</v>
      </c>
      <c r="B703" s="18" t="s">
        <v>1495</v>
      </c>
      <c r="C703" s="36" t="s">
        <v>1496</v>
      </c>
      <c r="D703" s="20" t="s">
        <v>80</v>
      </c>
      <c r="E703" s="21">
        <v>2.0</v>
      </c>
      <c r="F703" s="22" t="s">
        <v>83</v>
      </c>
      <c r="G703" s="23" t="s">
        <v>20</v>
      </c>
      <c r="H703" s="24" t="s">
        <v>11</v>
      </c>
      <c r="I703" s="25">
        <f>IFERROR(VLOOKUP(VALUE(B703), 'คำนวณ '!A:U, 21, FALSE), "")</f>
        <v>1</v>
      </c>
      <c r="J703" s="26">
        <f>IFERROR(VLOOKUP(VALUE(B703), 'คำนวณ '!A:V, 22, FALSE), "")</f>
        <v>1</v>
      </c>
      <c r="K703" s="27" t="s">
        <v>19</v>
      </c>
      <c r="U703" s="26"/>
      <c r="X703" s="26"/>
    </row>
    <row r="704" ht="15.0" customHeight="1">
      <c r="A704" s="11">
        <v>710.0</v>
      </c>
      <c r="B704" s="18" t="s">
        <v>1497</v>
      </c>
      <c r="C704" s="36" t="s">
        <v>1498</v>
      </c>
      <c r="D704" s="20" t="s">
        <v>80</v>
      </c>
      <c r="E704" s="21">
        <v>8.0</v>
      </c>
      <c r="F704" s="22" t="s">
        <v>1499</v>
      </c>
      <c r="G704" s="23" t="s">
        <v>25</v>
      </c>
      <c r="H704" s="24" t="s">
        <v>11</v>
      </c>
      <c r="I704" s="25">
        <f>IFERROR(VLOOKUP(VALUE(B704), 'คำนวณ '!A:U, 21, FALSE), "")</f>
        <v>1</v>
      </c>
      <c r="J704" s="26">
        <f>IFERROR(VLOOKUP(VALUE(B704), 'คำนวณ '!A:V, 22, FALSE), "")</f>
        <v>1</v>
      </c>
      <c r="K704" s="27" t="s">
        <v>19</v>
      </c>
      <c r="U704" s="26"/>
      <c r="X704" s="26"/>
    </row>
    <row r="705" ht="15.0" customHeight="1">
      <c r="A705" s="11">
        <v>710.0</v>
      </c>
      <c r="B705" s="18" t="s">
        <v>1500</v>
      </c>
      <c r="C705" s="36" t="s">
        <v>1501</v>
      </c>
      <c r="D705" s="39"/>
      <c r="E705" s="40"/>
      <c r="F705" s="41"/>
      <c r="G705" s="23" t="s">
        <v>25</v>
      </c>
      <c r="H705" s="42"/>
      <c r="I705" s="25" t="str">
        <f>IFERROR(VLOOKUP(VALUE(B705), 'คำนวณ '!A:U, 21, FALSE), "")</f>
        <v/>
      </c>
      <c r="J705" s="26" t="str">
        <f>IFERROR(VLOOKUP(VALUE(B705), 'คำนวณ '!A:V, 22, FALSE), "")</f>
        <v/>
      </c>
      <c r="K705" s="27" t="s">
        <v>19</v>
      </c>
      <c r="U705" s="26"/>
      <c r="X705" s="26"/>
    </row>
    <row r="706" ht="15.0" customHeight="1">
      <c r="A706" s="11">
        <v>721.0</v>
      </c>
      <c r="B706" s="18" t="s">
        <v>1502</v>
      </c>
      <c r="C706" s="36" t="s">
        <v>1503</v>
      </c>
      <c r="D706" s="20" t="s">
        <v>80</v>
      </c>
      <c r="E706" s="21">
        <v>8.0</v>
      </c>
      <c r="F706" s="22" t="s">
        <v>1504</v>
      </c>
      <c r="G706" s="23" t="s">
        <v>25</v>
      </c>
      <c r="H706" s="24" t="s">
        <v>11</v>
      </c>
      <c r="I706" s="25">
        <f>IFERROR(VLOOKUP(VALUE(B706), 'คำนวณ '!A:U, 21, FALSE), "")</f>
        <v>1</v>
      </c>
      <c r="J706" s="26">
        <f>IFERROR(VLOOKUP(VALUE(B706), 'คำนวณ '!A:V, 22, FALSE), "")</f>
        <v>1</v>
      </c>
      <c r="K706" s="27" t="s">
        <v>19</v>
      </c>
      <c r="U706" s="26"/>
      <c r="X706" s="26"/>
    </row>
    <row r="707" ht="15.0" customHeight="1">
      <c r="A707" s="11">
        <v>722.0</v>
      </c>
      <c r="B707" s="18" t="s">
        <v>1505</v>
      </c>
      <c r="C707" s="36" t="s">
        <v>1506</v>
      </c>
      <c r="D707" s="20" t="s">
        <v>80</v>
      </c>
      <c r="E707" s="21">
        <v>8.0</v>
      </c>
      <c r="F707" s="22" t="s">
        <v>1507</v>
      </c>
      <c r="G707" s="23" t="s">
        <v>25</v>
      </c>
      <c r="H707" s="24" t="s">
        <v>11</v>
      </c>
      <c r="I707" s="25">
        <f>IFERROR(VLOOKUP(VALUE(B707), 'คำนวณ '!A:U, 21, FALSE), "")</f>
        <v>1</v>
      </c>
      <c r="J707" s="26" t="str">
        <f>IFERROR(VLOOKUP(VALUE(B707), 'คำนวณ '!A:V, 22, FALSE), "")</f>
        <v/>
      </c>
      <c r="K707" s="27" t="s">
        <v>19</v>
      </c>
      <c r="U707" s="26"/>
      <c r="X707" s="26"/>
    </row>
    <row r="708" ht="15.0" customHeight="1">
      <c r="A708" s="11">
        <v>723.0</v>
      </c>
      <c r="B708" s="18" t="s">
        <v>1508</v>
      </c>
      <c r="C708" s="36" t="s">
        <v>1509</v>
      </c>
      <c r="D708" s="20" t="s">
        <v>80</v>
      </c>
      <c r="E708" s="21">
        <v>8.0</v>
      </c>
      <c r="F708" s="22" t="s">
        <v>1510</v>
      </c>
      <c r="G708" s="23" t="s">
        <v>25</v>
      </c>
      <c r="H708" s="24" t="s">
        <v>11</v>
      </c>
      <c r="I708" s="25">
        <f>IFERROR(VLOOKUP(VALUE(B708), 'คำนวณ '!A:U, 21, FALSE), "")</f>
        <v>1</v>
      </c>
      <c r="J708" s="26">
        <f>IFERROR(VLOOKUP(VALUE(B708), 'คำนวณ '!A:V, 22, FALSE), "")</f>
        <v>1</v>
      </c>
      <c r="K708" s="27" t="s">
        <v>19</v>
      </c>
      <c r="U708" s="26"/>
      <c r="X708" s="26"/>
    </row>
    <row r="709" ht="15.75" customHeight="1">
      <c r="B709" s="18"/>
      <c r="C709" s="36"/>
      <c r="D709" s="39"/>
      <c r="E709" s="40"/>
      <c r="F709" s="41"/>
      <c r="G709" s="42"/>
      <c r="H709" s="42"/>
      <c r="I709" s="25"/>
      <c r="K709" s="27"/>
      <c r="U709" s="26"/>
      <c r="X709" s="26"/>
    </row>
    <row r="710" ht="15.75" customHeight="1">
      <c r="B710" s="18"/>
      <c r="C710" s="36"/>
      <c r="D710" s="39"/>
      <c r="E710" s="40"/>
      <c r="F710" s="41"/>
      <c r="G710" s="42"/>
      <c r="H710" s="42"/>
      <c r="I710" s="25"/>
      <c r="K710" s="27"/>
      <c r="U710" s="26"/>
      <c r="X710" s="26"/>
    </row>
    <row r="711" ht="15.75" customHeight="1">
      <c r="B711" s="18"/>
      <c r="C711" s="36"/>
      <c r="D711" s="39"/>
      <c r="E711" s="40"/>
      <c r="F711" s="41"/>
      <c r="G711" s="42"/>
      <c r="H711" s="42"/>
      <c r="I711" s="25"/>
      <c r="K711" s="27"/>
      <c r="U711" s="26"/>
      <c r="X711" s="26"/>
    </row>
    <row r="712" ht="15.75" customHeight="1">
      <c r="B712" s="18"/>
      <c r="C712" s="36"/>
      <c r="D712" s="39"/>
      <c r="E712" s="40"/>
      <c r="F712" s="41"/>
      <c r="G712" s="42"/>
      <c r="H712" s="42"/>
      <c r="I712" s="25"/>
      <c r="K712" s="27"/>
      <c r="U712" s="26"/>
      <c r="X712" s="26"/>
    </row>
    <row r="713" ht="15.75" customHeight="1">
      <c r="B713" s="18"/>
      <c r="C713" s="36"/>
      <c r="D713" s="39"/>
      <c r="E713" s="40"/>
      <c r="F713" s="41"/>
      <c r="G713" s="42"/>
      <c r="H713" s="42"/>
      <c r="I713" s="25"/>
      <c r="K713" s="27"/>
      <c r="U713" s="26"/>
      <c r="X713" s="26"/>
    </row>
    <row r="714" ht="15.75" customHeight="1">
      <c r="B714" s="18"/>
      <c r="C714" s="36"/>
      <c r="D714" s="39"/>
      <c r="E714" s="40"/>
      <c r="F714" s="41"/>
      <c r="G714" s="42"/>
      <c r="H714" s="42"/>
      <c r="I714" s="25"/>
      <c r="K714" s="27"/>
      <c r="U714" s="26"/>
      <c r="X714" s="26"/>
    </row>
    <row r="715" ht="15.75" customHeight="1">
      <c r="B715" s="18"/>
      <c r="C715" s="36"/>
      <c r="D715" s="39"/>
      <c r="E715" s="40"/>
      <c r="F715" s="41"/>
      <c r="G715" s="42"/>
      <c r="H715" s="42"/>
      <c r="I715" s="25"/>
      <c r="K715" s="27"/>
      <c r="U715" s="26"/>
      <c r="X715" s="26"/>
    </row>
    <row r="716" ht="15.75" customHeight="1">
      <c r="B716" s="18"/>
      <c r="C716" s="36"/>
      <c r="D716" s="39"/>
      <c r="E716" s="40"/>
      <c r="F716" s="41"/>
      <c r="G716" s="42"/>
      <c r="H716" s="42"/>
      <c r="I716" s="25"/>
      <c r="K716" s="27"/>
      <c r="U716" s="26"/>
      <c r="X716" s="26"/>
    </row>
    <row r="717" ht="15.75" customHeight="1">
      <c r="B717" s="18"/>
      <c r="C717" s="36"/>
      <c r="D717" s="39"/>
      <c r="E717" s="40"/>
      <c r="F717" s="41"/>
      <c r="G717" s="42"/>
      <c r="H717" s="42"/>
      <c r="I717" s="25"/>
      <c r="K717" s="27"/>
      <c r="U717" s="26"/>
      <c r="X717" s="26"/>
    </row>
    <row r="718" ht="15.75" customHeight="1">
      <c r="B718" s="18"/>
      <c r="C718" s="36"/>
      <c r="D718" s="39"/>
      <c r="E718" s="40"/>
      <c r="F718" s="41"/>
      <c r="G718" s="42"/>
      <c r="H718" s="42"/>
      <c r="I718" s="25"/>
      <c r="K718" s="27"/>
      <c r="U718" s="26"/>
      <c r="X718" s="26"/>
    </row>
    <row r="719" ht="15.75" customHeight="1">
      <c r="B719" s="18"/>
      <c r="C719" s="36"/>
      <c r="D719" s="39"/>
      <c r="E719" s="40"/>
      <c r="F719" s="41"/>
      <c r="G719" s="42"/>
      <c r="H719" s="42"/>
      <c r="I719" s="25"/>
      <c r="K719" s="27"/>
      <c r="U719" s="26"/>
      <c r="X719" s="26"/>
    </row>
    <row r="720" ht="15.75" customHeight="1">
      <c r="B720" s="18"/>
      <c r="C720" s="36"/>
      <c r="D720" s="39"/>
      <c r="E720" s="40"/>
      <c r="F720" s="41"/>
      <c r="G720" s="42"/>
      <c r="H720" s="42"/>
      <c r="I720" s="25"/>
      <c r="K720" s="27"/>
      <c r="U720" s="26"/>
      <c r="X720" s="26"/>
    </row>
    <row r="721" ht="15.75" customHeight="1">
      <c r="B721" s="18"/>
      <c r="C721" s="36"/>
      <c r="D721" s="39"/>
      <c r="E721" s="40"/>
      <c r="F721" s="41"/>
      <c r="G721" s="42"/>
      <c r="H721" s="42"/>
      <c r="I721" s="25"/>
      <c r="K721" s="27"/>
      <c r="U721" s="26"/>
      <c r="X721" s="26"/>
    </row>
    <row r="722" ht="15.75" customHeight="1">
      <c r="B722" s="18"/>
      <c r="C722" s="36"/>
      <c r="D722" s="39"/>
      <c r="E722" s="40"/>
      <c r="F722" s="41"/>
      <c r="G722" s="42"/>
      <c r="H722" s="42"/>
      <c r="I722" s="25"/>
      <c r="K722" s="27"/>
      <c r="U722" s="26"/>
      <c r="X722" s="26"/>
    </row>
    <row r="723" ht="15.75" customHeight="1">
      <c r="B723" s="18"/>
      <c r="C723" s="36"/>
      <c r="D723" s="39"/>
      <c r="E723" s="40"/>
      <c r="F723" s="41"/>
      <c r="G723" s="42"/>
      <c r="H723" s="42"/>
      <c r="I723" s="25"/>
      <c r="K723" s="27"/>
      <c r="U723" s="26"/>
      <c r="X723" s="26"/>
    </row>
    <row r="724" ht="15.75" customHeight="1">
      <c r="B724" s="18"/>
      <c r="C724" s="36"/>
      <c r="D724" s="39"/>
      <c r="E724" s="40"/>
      <c r="F724" s="41"/>
      <c r="G724" s="42"/>
      <c r="H724" s="42"/>
      <c r="I724" s="25"/>
      <c r="K724" s="27"/>
      <c r="U724" s="26"/>
      <c r="X724" s="26"/>
    </row>
    <row r="725" ht="15.75" customHeight="1">
      <c r="B725" s="18"/>
      <c r="C725" s="36"/>
      <c r="D725" s="39"/>
      <c r="E725" s="40"/>
      <c r="F725" s="41"/>
      <c r="G725" s="42"/>
      <c r="H725" s="42"/>
      <c r="I725" s="25"/>
      <c r="K725" s="27"/>
      <c r="U725" s="26"/>
      <c r="X725" s="26"/>
    </row>
    <row r="726" ht="15.75" customHeight="1">
      <c r="B726" s="18"/>
      <c r="C726" s="36"/>
      <c r="D726" s="39"/>
      <c r="E726" s="40"/>
      <c r="F726" s="41"/>
      <c r="G726" s="42"/>
      <c r="H726" s="42"/>
      <c r="I726" s="25"/>
      <c r="K726" s="27"/>
      <c r="U726" s="26"/>
      <c r="X726" s="26"/>
    </row>
    <row r="727" ht="15.75" customHeight="1">
      <c r="B727" s="18"/>
      <c r="C727" s="36"/>
      <c r="D727" s="39"/>
      <c r="E727" s="40"/>
      <c r="F727" s="41"/>
      <c r="G727" s="42"/>
      <c r="H727" s="42"/>
      <c r="I727" s="25"/>
      <c r="K727" s="27"/>
      <c r="U727" s="26"/>
      <c r="X727" s="26"/>
    </row>
    <row r="728" ht="15.75" customHeight="1">
      <c r="B728" s="18"/>
      <c r="C728" s="36"/>
      <c r="D728" s="39"/>
      <c r="E728" s="40"/>
      <c r="F728" s="41"/>
      <c r="G728" s="42"/>
      <c r="H728" s="42"/>
      <c r="I728" s="25"/>
      <c r="K728" s="27"/>
      <c r="U728" s="26"/>
      <c r="X728" s="26"/>
    </row>
    <row r="729" ht="15.75" customHeight="1">
      <c r="B729" s="18"/>
      <c r="C729" s="36"/>
      <c r="D729" s="39"/>
      <c r="E729" s="40"/>
      <c r="F729" s="41"/>
      <c r="G729" s="42"/>
      <c r="H729" s="42"/>
      <c r="I729" s="25"/>
      <c r="K729" s="27"/>
      <c r="U729" s="26"/>
      <c r="X729" s="26"/>
    </row>
    <row r="730" ht="15.75" customHeight="1">
      <c r="B730" s="18"/>
      <c r="C730" s="36"/>
      <c r="D730" s="39"/>
      <c r="E730" s="40"/>
      <c r="F730" s="41"/>
      <c r="G730" s="42"/>
      <c r="H730" s="42"/>
      <c r="I730" s="25"/>
      <c r="K730" s="27"/>
      <c r="U730" s="26"/>
      <c r="X730" s="26"/>
    </row>
    <row r="731" ht="15.75" customHeight="1">
      <c r="B731" s="18"/>
      <c r="C731" s="36"/>
      <c r="D731" s="39"/>
      <c r="E731" s="40"/>
      <c r="F731" s="41"/>
      <c r="G731" s="42"/>
      <c r="H731" s="42"/>
      <c r="I731" s="25"/>
      <c r="K731" s="27"/>
      <c r="U731" s="26"/>
      <c r="X731" s="26"/>
    </row>
    <row r="732" ht="15.75" customHeight="1">
      <c r="B732" s="18"/>
      <c r="C732" s="36"/>
      <c r="D732" s="39"/>
      <c r="E732" s="40"/>
      <c r="F732" s="41"/>
      <c r="G732" s="42"/>
      <c r="H732" s="42"/>
      <c r="I732" s="25"/>
      <c r="K732" s="27"/>
      <c r="U732" s="26"/>
      <c r="X732" s="26"/>
    </row>
    <row r="733" ht="15.75" customHeight="1">
      <c r="B733" s="18"/>
      <c r="C733" s="36"/>
      <c r="D733" s="39"/>
      <c r="E733" s="40"/>
      <c r="F733" s="41"/>
      <c r="G733" s="42"/>
      <c r="H733" s="42"/>
      <c r="I733" s="25"/>
      <c r="K733" s="27"/>
      <c r="U733" s="26"/>
      <c r="X733" s="26"/>
    </row>
    <row r="734" ht="15.75" customHeight="1">
      <c r="B734" s="18"/>
      <c r="C734" s="36"/>
      <c r="D734" s="39"/>
      <c r="E734" s="40"/>
      <c r="F734" s="41"/>
      <c r="G734" s="42"/>
      <c r="H734" s="42"/>
      <c r="I734" s="25"/>
      <c r="K734" s="27"/>
      <c r="U734" s="26"/>
      <c r="X734" s="26"/>
    </row>
    <row r="735" ht="15.75" customHeight="1">
      <c r="B735" s="18"/>
      <c r="C735" s="36"/>
      <c r="D735" s="39"/>
      <c r="E735" s="40"/>
      <c r="F735" s="41"/>
      <c r="G735" s="42"/>
      <c r="H735" s="42"/>
      <c r="I735" s="25"/>
      <c r="K735" s="27"/>
      <c r="U735" s="26"/>
      <c r="X735" s="26"/>
    </row>
    <row r="736" ht="15.75" customHeight="1">
      <c r="B736" s="18"/>
      <c r="C736" s="36"/>
      <c r="D736" s="39"/>
      <c r="E736" s="40"/>
      <c r="F736" s="41"/>
      <c r="G736" s="42"/>
      <c r="H736" s="42"/>
      <c r="I736" s="25"/>
      <c r="K736" s="27"/>
      <c r="U736" s="26"/>
      <c r="X736" s="26"/>
    </row>
    <row r="737" ht="15.75" customHeight="1">
      <c r="B737" s="18"/>
      <c r="C737" s="36"/>
      <c r="D737" s="39"/>
      <c r="E737" s="40"/>
      <c r="F737" s="41"/>
      <c r="G737" s="42"/>
      <c r="H737" s="42"/>
      <c r="I737" s="25"/>
      <c r="K737" s="27"/>
      <c r="U737" s="26"/>
      <c r="X737" s="26"/>
    </row>
    <row r="738" ht="15.75" customHeight="1">
      <c r="B738" s="18"/>
      <c r="C738" s="36"/>
      <c r="D738" s="39"/>
      <c r="E738" s="40"/>
      <c r="F738" s="41"/>
      <c r="G738" s="42"/>
      <c r="H738" s="42"/>
      <c r="I738" s="25"/>
      <c r="K738" s="27"/>
      <c r="U738" s="26"/>
      <c r="X738" s="26"/>
    </row>
    <row r="739" ht="15.75" customHeight="1">
      <c r="B739" s="18"/>
      <c r="C739" s="36"/>
      <c r="D739" s="39"/>
      <c r="E739" s="40"/>
      <c r="F739" s="41"/>
      <c r="G739" s="42"/>
      <c r="H739" s="42"/>
      <c r="I739" s="25"/>
      <c r="K739" s="27"/>
      <c r="U739" s="26"/>
      <c r="X739" s="26"/>
    </row>
    <row r="740" ht="15.75" customHeight="1">
      <c r="B740" s="18"/>
      <c r="C740" s="36"/>
      <c r="D740" s="39"/>
      <c r="E740" s="40"/>
      <c r="F740" s="41"/>
      <c r="G740" s="42"/>
      <c r="H740" s="42"/>
      <c r="I740" s="25"/>
      <c r="K740" s="27"/>
      <c r="U740" s="26"/>
      <c r="X740" s="26"/>
    </row>
    <row r="741" ht="15.75" customHeight="1">
      <c r="B741" s="18"/>
      <c r="C741" s="36"/>
      <c r="D741" s="39"/>
      <c r="E741" s="40"/>
      <c r="F741" s="41"/>
      <c r="G741" s="42"/>
      <c r="H741" s="42"/>
      <c r="I741" s="25"/>
      <c r="K741" s="27"/>
      <c r="U741" s="26"/>
      <c r="X741" s="26"/>
    </row>
    <row r="742" ht="15.75" customHeight="1">
      <c r="B742" s="18"/>
      <c r="C742" s="36"/>
      <c r="D742" s="39"/>
      <c r="E742" s="40"/>
      <c r="F742" s="41"/>
      <c r="G742" s="42"/>
      <c r="H742" s="42"/>
      <c r="I742" s="25"/>
      <c r="K742" s="27"/>
      <c r="U742" s="26"/>
      <c r="X742" s="26"/>
    </row>
    <row r="743" ht="15.75" customHeight="1">
      <c r="B743" s="18"/>
      <c r="C743" s="36"/>
      <c r="D743" s="39"/>
      <c r="E743" s="40"/>
      <c r="F743" s="41"/>
      <c r="G743" s="42"/>
      <c r="H743" s="42"/>
      <c r="I743" s="25"/>
      <c r="K743" s="27"/>
      <c r="U743" s="26"/>
      <c r="X743" s="26"/>
    </row>
    <row r="744" ht="15.75" customHeight="1">
      <c r="B744" s="18"/>
      <c r="C744" s="36"/>
      <c r="D744" s="39"/>
      <c r="E744" s="40"/>
      <c r="F744" s="41"/>
      <c r="G744" s="42"/>
      <c r="H744" s="42"/>
      <c r="I744" s="25"/>
      <c r="K744" s="27"/>
      <c r="U744" s="26"/>
      <c r="X744" s="26"/>
    </row>
    <row r="745" ht="15.75" customHeight="1">
      <c r="B745" s="18"/>
      <c r="C745" s="36"/>
      <c r="D745" s="39"/>
      <c r="E745" s="40"/>
      <c r="F745" s="41"/>
      <c r="G745" s="42"/>
      <c r="H745" s="42"/>
      <c r="I745" s="25"/>
      <c r="K745" s="27"/>
      <c r="U745" s="26"/>
      <c r="X745" s="26"/>
    </row>
    <row r="746" ht="15.75" customHeight="1">
      <c r="B746" s="18"/>
      <c r="C746" s="36"/>
      <c r="D746" s="39"/>
      <c r="E746" s="40"/>
      <c r="F746" s="41"/>
      <c r="G746" s="42"/>
      <c r="H746" s="42"/>
      <c r="I746" s="25"/>
      <c r="K746" s="27"/>
      <c r="U746" s="26"/>
      <c r="X746" s="26"/>
    </row>
    <row r="747" ht="15.75" customHeight="1">
      <c r="B747" s="18"/>
      <c r="C747" s="36"/>
      <c r="D747" s="39"/>
      <c r="E747" s="40"/>
      <c r="F747" s="41"/>
      <c r="G747" s="42"/>
      <c r="H747" s="42"/>
      <c r="I747" s="25"/>
      <c r="K747" s="27"/>
      <c r="U747" s="26"/>
      <c r="X747" s="26"/>
    </row>
    <row r="748" ht="15.75" customHeight="1">
      <c r="B748" s="18"/>
      <c r="C748" s="36"/>
      <c r="D748" s="39"/>
      <c r="E748" s="40"/>
      <c r="F748" s="41"/>
      <c r="G748" s="42"/>
      <c r="H748" s="42"/>
      <c r="I748" s="25"/>
      <c r="K748" s="27"/>
      <c r="U748" s="26"/>
      <c r="X748" s="26"/>
    </row>
    <row r="749" ht="15.75" customHeight="1">
      <c r="B749" s="18"/>
      <c r="C749" s="36"/>
      <c r="D749" s="39"/>
      <c r="E749" s="40"/>
      <c r="F749" s="41"/>
      <c r="G749" s="42"/>
      <c r="H749" s="42"/>
      <c r="I749" s="25"/>
      <c r="K749" s="27"/>
      <c r="U749" s="26"/>
      <c r="X749" s="26"/>
    </row>
    <row r="750" ht="15.75" customHeight="1">
      <c r="B750" s="18"/>
      <c r="C750" s="36"/>
      <c r="D750" s="39"/>
      <c r="E750" s="40"/>
      <c r="F750" s="41"/>
      <c r="G750" s="42"/>
      <c r="H750" s="42"/>
      <c r="I750" s="25"/>
      <c r="K750" s="27"/>
      <c r="U750" s="26"/>
      <c r="X750" s="26"/>
    </row>
    <row r="751" ht="15.75" customHeight="1">
      <c r="B751" s="18"/>
      <c r="C751" s="36"/>
      <c r="D751" s="39"/>
      <c r="E751" s="40"/>
      <c r="F751" s="41"/>
      <c r="G751" s="42"/>
      <c r="H751" s="42"/>
      <c r="I751" s="25"/>
      <c r="K751" s="27"/>
      <c r="U751" s="26"/>
      <c r="X751" s="26"/>
    </row>
    <row r="752" ht="15.75" customHeight="1">
      <c r="B752" s="18"/>
      <c r="C752" s="36"/>
      <c r="D752" s="39"/>
      <c r="E752" s="40"/>
      <c r="F752" s="41"/>
      <c r="G752" s="42"/>
      <c r="H752" s="42"/>
      <c r="I752" s="25"/>
      <c r="K752" s="27"/>
      <c r="U752" s="26"/>
      <c r="X752" s="26"/>
    </row>
    <row r="753" ht="15.75" customHeight="1">
      <c r="B753" s="18"/>
      <c r="C753" s="36"/>
      <c r="D753" s="39"/>
      <c r="E753" s="40"/>
      <c r="F753" s="41"/>
      <c r="G753" s="42"/>
      <c r="H753" s="42"/>
      <c r="I753" s="25"/>
      <c r="K753" s="27"/>
      <c r="U753" s="26"/>
      <c r="X753" s="26"/>
    </row>
    <row r="754" ht="15.75" customHeight="1">
      <c r="B754" s="18"/>
      <c r="C754" s="36"/>
      <c r="D754" s="39"/>
      <c r="E754" s="40"/>
      <c r="F754" s="41"/>
      <c r="G754" s="42"/>
      <c r="H754" s="42"/>
      <c r="I754" s="25"/>
      <c r="K754" s="27"/>
      <c r="U754" s="26"/>
      <c r="X754" s="26"/>
    </row>
    <row r="755" ht="15.75" customHeight="1">
      <c r="B755" s="18"/>
      <c r="C755" s="36"/>
      <c r="D755" s="39"/>
      <c r="E755" s="40"/>
      <c r="F755" s="41"/>
      <c r="G755" s="42"/>
      <c r="H755" s="42"/>
      <c r="I755" s="25"/>
      <c r="K755" s="27"/>
      <c r="U755" s="26"/>
      <c r="X755" s="26"/>
    </row>
    <row r="756" ht="15.75" customHeight="1">
      <c r="B756" s="18"/>
      <c r="C756" s="36"/>
      <c r="D756" s="39"/>
      <c r="E756" s="40"/>
      <c r="F756" s="41"/>
      <c r="G756" s="42"/>
      <c r="H756" s="42"/>
      <c r="I756" s="25"/>
      <c r="K756" s="27"/>
      <c r="U756" s="26"/>
      <c r="X756" s="26"/>
    </row>
    <row r="757" ht="15.75" customHeight="1">
      <c r="B757" s="18"/>
      <c r="C757" s="36"/>
      <c r="D757" s="39"/>
      <c r="E757" s="40"/>
      <c r="F757" s="41"/>
      <c r="G757" s="42"/>
      <c r="H757" s="42"/>
      <c r="I757" s="25"/>
      <c r="K757" s="27"/>
      <c r="U757" s="26"/>
      <c r="X757" s="26"/>
    </row>
    <row r="758" ht="15.75" customHeight="1">
      <c r="B758" s="18"/>
      <c r="C758" s="36"/>
      <c r="D758" s="39"/>
      <c r="E758" s="40"/>
      <c r="F758" s="41"/>
      <c r="G758" s="42"/>
      <c r="H758" s="42"/>
      <c r="I758" s="25"/>
      <c r="K758" s="27"/>
      <c r="U758" s="26"/>
      <c r="X758" s="26"/>
    </row>
    <row r="759" ht="15.75" customHeight="1">
      <c r="B759" s="18"/>
      <c r="C759" s="36"/>
      <c r="D759" s="39"/>
      <c r="E759" s="40"/>
      <c r="F759" s="41"/>
      <c r="G759" s="42"/>
      <c r="H759" s="42"/>
      <c r="I759" s="25"/>
      <c r="K759" s="27"/>
      <c r="U759" s="26"/>
      <c r="X759" s="26"/>
    </row>
    <row r="760" ht="15.75" customHeight="1">
      <c r="B760" s="18"/>
      <c r="C760" s="36"/>
      <c r="D760" s="39"/>
      <c r="E760" s="40"/>
      <c r="F760" s="41"/>
      <c r="G760" s="42"/>
      <c r="H760" s="42"/>
      <c r="I760" s="25"/>
      <c r="K760" s="27"/>
      <c r="U760" s="26"/>
      <c r="X760" s="26"/>
    </row>
    <row r="761" ht="15.75" customHeight="1">
      <c r="B761" s="18"/>
      <c r="C761" s="36"/>
      <c r="D761" s="39"/>
      <c r="E761" s="40"/>
      <c r="F761" s="41"/>
      <c r="G761" s="42"/>
      <c r="H761" s="42"/>
      <c r="I761" s="25"/>
      <c r="K761" s="27"/>
      <c r="U761" s="26"/>
      <c r="X761" s="26"/>
    </row>
    <row r="762" ht="15.75" customHeight="1">
      <c r="B762" s="18"/>
      <c r="C762" s="36"/>
      <c r="D762" s="39"/>
      <c r="E762" s="40"/>
      <c r="F762" s="41"/>
      <c r="G762" s="42"/>
      <c r="H762" s="42"/>
      <c r="I762" s="25"/>
      <c r="K762" s="27"/>
      <c r="U762" s="26"/>
      <c r="X762" s="26"/>
    </row>
    <row r="763" ht="15.75" customHeight="1">
      <c r="B763" s="18"/>
      <c r="C763" s="36"/>
      <c r="D763" s="39"/>
      <c r="E763" s="40"/>
      <c r="F763" s="41"/>
      <c r="G763" s="42"/>
      <c r="H763" s="42"/>
      <c r="I763" s="25"/>
      <c r="K763" s="27"/>
      <c r="U763" s="26"/>
      <c r="X763" s="26"/>
    </row>
    <row r="764" ht="15.75" customHeight="1">
      <c r="B764" s="18"/>
      <c r="C764" s="36"/>
      <c r="D764" s="39"/>
      <c r="E764" s="40"/>
      <c r="F764" s="41"/>
      <c r="G764" s="42"/>
      <c r="H764" s="42"/>
      <c r="I764" s="25"/>
      <c r="K764" s="27"/>
      <c r="U764" s="26"/>
      <c r="X764" s="26"/>
    </row>
    <row r="765" ht="15.75" customHeight="1">
      <c r="B765" s="18"/>
      <c r="C765" s="36"/>
      <c r="D765" s="39"/>
      <c r="E765" s="40"/>
      <c r="F765" s="41"/>
      <c r="G765" s="42"/>
      <c r="H765" s="42"/>
      <c r="I765" s="25"/>
      <c r="K765" s="27"/>
      <c r="U765" s="26"/>
      <c r="X765" s="26"/>
    </row>
    <row r="766" ht="15.75" customHeight="1">
      <c r="B766" s="18"/>
      <c r="C766" s="36"/>
      <c r="D766" s="39"/>
      <c r="E766" s="40"/>
      <c r="F766" s="41"/>
      <c r="G766" s="42"/>
      <c r="H766" s="42"/>
      <c r="I766" s="25"/>
      <c r="K766" s="27"/>
      <c r="U766" s="26"/>
      <c r="X766" s="26"/>
    </row>
    <row r="767" ht="15.75" customHeight="1">
      <c r="B767" s="18"/>
      <c r="C767" s="36"/>
      <c r="D767" s="39"/>
      <c r="E767" s="40"/>
      <c r="F767" s="41"/>
      <c r="G767" s="42"/>
      <c r="H767" s="42"/>
      <c r="I767" s="25"/>
      <c r="K767" s="27"/>
      <c r="U767" s="26"/>
      <c r="X767" s="26"/>
    </row>
    <row r="768" ht="15.75" customHeight="1">
      <c r="B768" s="18"/>
      <c r="C768" s="36"/>
      <c r="D768" s="39"/>
      <c r="E768" s="40"/>
      <c r="F768" s="41"/>
      <c r="G768" s="42"/>
      <c r="H768" s="42"/>
      <c r="I768" s="25"/>
      <c r="K768" s="27"/>
      <c r="U768" s="26"/>
      <c r="X768" s="26"/>
    </row>
    <row r="769" ht="15.75" customHeight="1">
      <c r="B769" s="18"/>
      <c r="C769" s="36"/>
      <c r="D769" s="39"/>
      <c r="E769" s="40"/>
      <c r="F769" s="41"/>
      <c r="G769" s="42"/>
      <c r="H769" s="42"/>
      <c r="I769" s="25"/>
      <c r="K769" s="27"/>
      <c r="U769" s="26"/>
      <c r="X769" s="26"/>
    </row>
    <row r="770" ht="15.75" customHeight="1">
      <c r="B770" s="18"/>
      <c r="C770" s="36"/>
      <c r="D770" s="39"/>
      <c r="E770" s="40"/>
      <c r="F770" s="41"/>
      <c r="G770" s="42"/>
      <c r="H770" s="42"/>
      <c r="I770" s="25"/>
      <c r="K770" s="27"/>
      <c r="U770" s="26"/>
      <c r="X770" s="26"/>
    </row>
    <row r="771" ht="15.75" customHeight="1">
      <c r="B771" s="18"/>
      <c r="C771" s="36"/>
      <c r="D771" s="39"/>
      <c r="E771" s="40"/>
      <c r="F771" s="41"/>
      <c r="G771" s="42"/>
      <c r="H771" s="42"/>
      <c r="I771" s="25"/>
      <c r="K771" s="27"/>
      <c r="U771" s="26"/>
      <c r="X771" s="26"/>
    </row>
    <row r="772" ht="15.75" customHeight="1">
      <c r="B772" s="18"/>
      <c r="C772" s="36"/>
      <c r="D772" s="39"/>
      <c r="E772" s="40"/>
      <c r="F772" s="41"/>
      <c r="G772" s="42"/>
      <c r="H772" s="42"/>
      <c r="I772" s="25"/>
      <c r="K772" s="27"/>
      <c r="U772" s="26"/>
      <c r="X772" s="26"/>
    </row>
    <row r="773" ht="15.75" customHeight="1">
      <c r="B773" s="18"/>
      <c r="C773" s="36"/>
      <c r="D773" s="39"/>
      <c r="E773" s="40"/>
      <c r="F773" s="41"/>
      <c r="G773" s="42"/>
      <c r="H773" s="42"/>
      <c r="I773" s="25"/>
      <c r="K773" s="27"/>
      <c r="U773" s="26"/>
      <c r="X773" s="26"/>
    </row>
    <row r="774" ht="15.75" customHeight="1">
      <c r="B774" s="18"/>
      <c r="C774" s="36"/>
      <c r="D774" s="39"/>
      <c r="E774" s="40"/>
      <c r="F774" s="41"/>
      <c r="G774" s="42"/>
      <c r="H774" s="42"/>
      <c r="I774" s="25"/>
      <c r="K774" s="27"/>
      <c r="U774" s="26"/>
      <c r="X774" s="26"/>
    </row>
    <row r="775" ht="15.75" customHeight="1">
      <c r="B775" s="18"/>
      <c r="C775" s="36"/>
      <c r="D775" s="39"/>
      <c r="E775" s="40"/>
      <c r="F775" s="41"/>
      <c r="G775" s="42"/>
      <c r="H775" s="42"/>
      <c r="I775" s="25"/>
      <c r="K775" s="27"/>
      <c r="U775" s="26"/>
      <c r="X775" s="26"/>
    </row>
    <row r="776" ht="15.75" customHeight="1">
      <c r="B776" s="18"/>
      <c r="C776" s="36"/>
      <c r="D776" s="39"/>
      <c r="E776" s="40"/>
      <c r="F776" s="41"/>
      <c r="G776" s="42"/>
      <c r="H776" s="42"/>
      <c r="I776" s="25"/>
      <c r="K776" s="27"/>
      <c r="U776" s="26"/>
      <c r="X776" s="26"/>
    </row>
    <row r="777" ht="15.75" customHeight="1">
      <c r="B777" s="18"/>
      <c r="C777" s="36"/>
      <c r="D777" s="39"/>
      <c r="E777" s="40"/>
      <c r="F777" s="41"/>
      <c r="G777" s="42"/>
      <c r="H777" s="42"/>
      <c r="I777" s="25"/>
      <c r="K777" s="27"/>
      <c r="U777" s="26"/>
      <c r="X777" s="26"/>
    </row>
    <row r="778" ht="15.75" customHeight="1">
      <c r="B778" s="18"/>
      <c r="C778" s="36"/>
      <c r="D778" s="39"/>
      <c r="E778" s="40"/>
      <c r="F778" s="41"/>
      <c r="G778" s="42"/>
      <c r="H778" s="42"/>
      <c r="I778" s="25"/>
      <c r="K778" s="27"/>
      <c r="U778" s="26"/>
      <c r="X778" s="26"/>
    </row>
    <row r="779" ht="15.75" customHeight="1">
      <c r="B779" s="18"/>
      <c r="C779" s="36"/>
      <c r="D779" s="39"/>
      <c r="E779" s="40"/>
      <c r="F779" s="41"/>
      <c r="G779" s="42"/>
      <c r="H779" s="42"/>
      <c r="I779" s="25"/>
      <c r="K779" s="27"/>
      <c r="U779" s="26"/>
      <c r="X779" s="26"/>
    </row>
    <row r="780" ht="15.75" customHeight="1">
      <c r="B780" s="18"/>
      <c r="C780" s="36"/>
      <c r="D780" s="39"/>
      <c r="E780" s="40"/>
      <c r="F780" s="41"/>
      <c r="G780" s="42"/>
      <c r="H780" s="42"/>
      <c r="I780" s="25"/>
      <c r="K780" s="27"/>
      <c r="U780" s="26"/>
      <c r="X780" s="26"/>
    </row>
    <row r="781" ht="15.75" customHeight="1">
      <c r="B781" s="18"/>
      <c r="C781" s="36"/>
      <c r="D781" s="39"/>
      <c r="E781" s="40"/>
      <c r="F781" s="41"/>
      <c r="G781" s="42"/>
      <c r="H781" s="42"/>
      <c r="I781" s="25"/>
      <c r="K781" s="27"/>
      <c r="U781" s="26"/>
      <c r="X781" s="26"/>
    </row>
    <row r="782" ht="15.75" customHeight="1">
      <c r="B782" s="18"/>
      <c r="C782" s="36"/>
      <c r="D782" s="39"/>
      <c r="E782" s="40"/>
      <c r="F782" s="41"/>
      <c r="G782" s="42"/>
      <c r="H782" s="42"/>
      <c r="I782" s="25"/>
      <c r="K782" s="27"/>
      <c r="U782" s="26"/>
      <c r="X782" s="26"/>
    </row>
    <row r="783" ht="15.75" customHeight="1">
      <c r="B783" s="18"/>
      <c r="C783" s="36"/>
      <c r="D783" s="39"/>
      <c r="E783" s="40"/>
      <c r="F783" s="41"/>
      <c r="G783" s="42"/>
      <c r="H783" s="42"/>
      <c r="I783" s="25"/>
      <c r="K783" s="27"/>
      <c r="U783" s="26"/>
      <c r="X783" s="26"/>
    </row>
    <row r="784" ht="15.75" customHeight="1">
      <c r="B784" s="18"/>
      <c r="C784" s="36"/>
      <c r="D784" s="39"/>
      <c r="E784" s="40"/>
      <c r="F784" s="41"/>
      <c r="G784" s="42"/>
      <c r="H784" s="42"/>
      <c r="I784" s="25"/>
      <c r="K784" s="27"/>
      <c r="U784" s="26"/>
      <c r="X784" s="26"/>
    </row>
    <row r="785" ht="15.75" customHeight="1">
      <c r="B785" s="18"/>
      <c r="C785" s="36"/>
      <c r="D785" s="39"/>
      <c r="E785" s="40"/>
      <c r="F785" s="41"/>
      <c r="G785" s="42"/>
      <c r="H785" s="42"/>
      <c r="I785" s="25"/>
      <c r="K785" s="27"/>
      <c r="U785" s="26"/>
      <c r="X785" s="26"/>
    </row>
    <row r="786" ht="15.75" customHeight="1">
      <c r="B786" s="18"/>
      <c r="C786" s="36"/>
      <c r="D786" s="39"/>
      <c r="E786" s="40"/>
      <c r="F786" s="41"/>
      <c r="G786" s="42"/>
      <c r="H786" s="42"/>
      <c r="I786" s="25"/>
      <c r="K786" s="27"/>
      <c r="U786" s="26"/>
      <c r="X786" s="26"/>
    </row>
    <row r="787" ht="15.75" customHeight="1">
      <c r="B787" s="18"/>
      <c r="C787" s="36"/>
      <c r="D787" s="39"/>
      <c r="E787" s="40"/>
      <c r="F787" s="41"/>
      <c r="G787" s="42"/>
      <c r="H787" s="42"/>
      <c r="I787" s="25"/>
      <c r="K787" s="27"/>
      <c r="U787" s="26"/>
      <c r="X787" s="26"/>
    </row>
    <row r="788" ht="15.75" customHeight="1">
      <c r="B788" s="18"/>
      <c r="C788" s="36"/>
      <c r="D788" s="39"/>
      <c r="E788" s="40"/>
      <c r="F788" s="41"/>
      <c r="G788" s="42"/>
      <c r="H788" s="42"/>
      <c r="I788" s="25"/>
      <c r="K788" s="27"/>
      <c r="U788" s="26"/>
      <c r="X788" s="26"/>
    </row>
    <row r="789" ht="15.75" customHeight="1">
      <c r="B789" s="18"/>
      <c r="C789" s="36"/>
      <c r="D789" s="39"/>
      <c r="E789" s="40"/>
      <c r="F789" s="41"/>
      <c r="G789" s="42"/>
      <c r="H789" s="42"/>
      <c r="I789" s="25"/>
      <c r="K789" s="27"/>
      <c r="U789" s="26"/>
      <c r="X789" s="26"/>
    </row>
    <row r="790" ht="15.75" customHeight="1">
      <c r="B790" s="18"/>
      <c r="C790" s="36"/>
      <c r="D790" s="39"/>
      <c r="E790" s="40"/>
      <c r="F790" s="41"/>
      <c r="G790" s="42"/>
      <c r="H790" s="42"/>
      <c r="I790" s="25"/>
      <c r="K790" s="27"/>
      <c r="U790" s="26"/>
      <c r="X790" s="26"/>
    </row>
    <row r="791" ht="15.75" customHeight="1">
      <c r="B791" s="18"/>
      <c r="C791" s="36"/>
      <c r="D791" s="39"/>
      <c r="E791" s="40"/>
      <c r="F791" s="41"/>
      <c r="G791" s="42"/>
      <c r="H791" s="42"/>
      <c r="I791" s="25"/>
      <c r="K791" s="27"/>
      <c r="U791" s="26"/>
      <c r="X791" s="26"/>
    </row>
    <row r="792" ht="15.75" customHeight="1">
      <c r="B792" s="18"/>
      <c r="C792" s="36"/>
      <c r="D792" s="39"/>
      <c r="E792" s="40"/>
      <c r="F792" s="41"/>
      <c r="G792" s="42"/>
      <c r="H792" s="42"/>
      <c r="I792" s="25"/>
      <c r="K792" s="27"/>
      <c r="U792" s="26"/>
      <c r="X792" s="26"/>
    </row>
    <row r="793" ht="15.75" customHeight="1">
      <c r="B793" s="18"/>
      <c r="C793" s="36"/>
      <c r="D793" s="39"/>
      <c r="E793" s="40"/>
      <c r="F793" s="41"/>
      <c r="G793" s="42"/>
      <c r="H793" s="42"/>
      <c r="I793" s="25"/>
      <c r="K793" s="27"/>
      <c r="U793" s="26"/>
      <c r="X793" s="26"/>
    </row>
    <row r="794" ht="15.75" customHeight="1">
      <c r="B794" s="18"/>
      <c r="C794" s="36"/>
      <c r="D794" s="39"/>
      <c r="E794" s="40"/>
      <c r="F794" s="41"/>
      <c r="G794" s="42"/>
      <c r="H794" s="42"/>
      <c r="I794" s="25"/>
      <c r="K794" s="27"/>
      <c r="U794" s="26"/>
      <c r="X794" s="26"/>
    </row>
    <row r="795" ht="15.75" customHeight="1">
      <c r="B795" s="18"/>
      <c r="C795" s="36"/>
      <c r="D795" s="39"/>
      <c r="E795" s="40"/>
      <c r="F795" s="41"/>
      <c r="G795" s="42"/>
      <c r="H795" s="42"/>
      <c r="I795" s="25"/>
      <c r="K795" s="27"/>
      <c r="U795" s="26"/>
      <c r="X795" s="26"/>
    </row>
    <row r="796" ht="15.75" customHeight="1">
      <c r="B796" s="18"/>
      <c r="C796" s="36"/>
      <c r="D796" s="39"/>
      <c r="E796" s="40"/>
      <c r="F796" s="41"/>
      <c r="G796" s="42"/>
      <c r="H796" s="42"/>
      <c r="I796" s="25"/>
      <c r="K796" s="27"/>
      <c r="U796" s="26"/>
      <c r="X796" s="26"/>
    </row>
    <row r="797" ht="15.75" customHeight="1">
      <c r="B797" s="18"/>
      <c r="C797" s="36"/>
      <c r="D797" s="39"/>
      <c r="E797" s="40"/>
      <c r="F797" s="41"/>
      <c r="G797" s="42"/>
      <c r="H797" s="42"/>
      <c r="I797" s="25"/>
      <c r="K797" s="27"/>
      <c r="U797" s="26"/>
      <c r="X797" s="26"/>
    </row>
    <row r="798" ht="15.75" customHeight="1">
      <c r="B798" s="18"/>
      <c r="C798" s="36"/>
      <c r="D798" s="39"/>
      <c r="E798" s="40"/>
      <c r="F798" s="41"/>
      <c r="G798" s="42"/>
      <c r="H798" s="42"/>
      <c r="I798" s="25"/>
      <c r="K798" s="27"/>
      <c r="U798" s="26"/>
      <c r="X798" s="26"/>
    </row>
    <row r="799" ht="15.75" customHeight="1">
      <c r="B799" s="18"/>
      <c r="C799" s="36"/>
      <c r="D799" s="39"/>
      <c r="E799" s="40"/>
      <c r="F799" s="41"/>
      <c r="G799" s="42"/>
      <c r="H799" s="42"/>
      <c r="I799" s="25"/>
      <c r="K799" s="27"/>
      <c r="U799" s="26"/>
      <c r="X799" s="26"/>
    </row>
    <row r="800" ht="15.75" customHeight="1">
      <c r="B800" s="18"/>
      <c r="C800" s="36"/>
      <c r="D800" s="39"/>
      <c r="E800" s="40"/>
      <c r="F800" s="41"/>
      <c r="G800" s="42"/>
      <c r="H800" s="42"/>
      <c r="I800" s="25"/>
      <c r="K800" s="27"/>
      <c r="U800" s="26"/>
      <c r="X800" s="26"/>
    </row>
    <row r="801" ht="15.75" customHeight="1">
      <c r="B801" s="18"/>
      <c r="C801" s="36"/>
      <c r="D801" s="39"/>
      <c r="E801" s="40"/>
      <c r="F801" s="41"/>
      <c r="G801" s="42"/>
      <c r="H801" s="42"/>
      <c r="I801" s="25"/>
      <c r="K801" s="27"/>
      <c r="U801" s="26"/>
      <c r="X801" s="26"/>
    </row>
    <row r="802" ht="15.75" customHeight="1">
      <c r="B802" s="18"/>
      <c r="C802" s="36"/>
      <c r="D802" s="39"/>
      <c r="E802" s="40"/>
      <c r="F802" s="41"/>
      <c r="G802" s="42"/>
      <c r="H802" s="42"/>
      <c r="I802" s="25"/>
      <c r="K802" s="27"/>
      <c r="U802" s="26"/>
      <c r="X802" s="26"/>
    </row>
    <row r="803" ht="15.75" customHeight="1">
      <c r="B803" s="18"/>
      <c r="C803" s="36"/>
      <c r="D803" s="39"/>
      <c r="E803" s="40"/>
      <c r="F803" s="41"/>
      <c r="G803" s="42"/>
      <c r="H803" s="42"/>
      <c r="I803" s="25"/>
      <c r="K803" s="27"/>
      <c r="U803" s="26"/>
      <c r="X803" s="26"/>
    </row>
    <row r="804" ht="15.75" customHeight="1">
      <c r="B804" s="18"/>
      <c r="C804" s="36"/>
      <c r="D804" s="39"/>
      <c r="E804" s="40"/>
      <c r="F804" s="41"/>
      <c r="G804" s="42"/>
      <c r="H804" s="42"/>
      <c r="I804" s="25"/>
      <c r="K804" s="27"/>
      <c r="U804" s="26"/>
      <c r="X804" s="26"/>
    </row>
    <row r="805" ht="15.75" customHeight="1">
      <c r="B805" s="18"/>
      <c r="C805" s="36"/>
      <c r="D805" s="39"/>
      <c r="E805" s="40"/>
      <c r="F805" s="41"/>
      <c r="G805" s="42"/>
      <c r="H805" s="42"/>
      <c r="I805" s="25"/>
      <c r="K805" s="27"/>
      <c r="U805" s="26"/>
      <c r="X805" s="26"/>
    </row>
    <row r="806" ht="15.75" customHeight="1">
      <c r="B806" s="18"/>
      <c r="C806" s="36"/>
      <c r="D806" s="39"/>
      <c r="E806" s="40"/>
      <c r="F806" s="41"/>
      <c r="G806" s="42"/>
      <c r="H806" s="42"/>
      <c r="I806" s="25"/>
      <c r="K806" s="27"/>
      <c r="U806" s="26"/>
      <c r="X806" s="26"/>
    </row>
    <row r="807" ht="15.75" customHeight="1">
      <c r="B807" s="18"/>
      <c r="C807" s="36"/>
      <c r="D807" s="39"/>
      <c r="E807" s="40"/>
      <c r="F807" s="41"/>
      <c r="G807" s="42"/>
      <c r="H807" s="42"/>
      <c r="I807" s="25"/>
      <c r="K807" s="27"/>
      <c r="U807" s="26"/>
      <c r="X807" s="26"/>
    </row>
    <row r="808" ht="15.75" customHeight="1">
      <c r="B808" s="18"/>
      <c r="C808" s="36"/>
      <c r="D808" s="39"/>
      <c r="E808" s="40"/>
      <c r="F808" s="41"/>
      <c r="G808" s="42"/>
      <c r="H808" s="42"/>
      <c r="I808" s="25"/>
      <c r="K808" s="27"/>
      <c r="U808" s="26"/>
      <c r="X808" s="26"/>
    </row>
    <row r="809" ht="15.75" customHeight="1">
      <c r="B809" s="18"/>
      <c r="C809" s="36"/>
      <c r="D809" s="39"/>
      <c r="E809" s="40"/>
      <c r="F809" s="41"/>
      <c r="G809" s="42"/>
      <c r="H809" s="42"/>
      <c r="I809" s="25"/>
      <c r="K809" s="27"/>
      <c r="U809" s="26"/>
      <c r="X809" s="26"/>
    </row>
    <row r="810" ht="15.75" customHeight="1">
      <c r="B810" s="18"/>
      <c r="C810" s="36"/>
      <c r="D810" s="39"/>
      <c r="E810" s="40"/>
      <c r="F810" s="41"/>
      <c r="G810" s="42"/>
      <c r="H810" s="42"/>
      <c r="I810" s="25"/>
      <c r="K810" s="27"/>
      <c r="U810" s="26"/>
      <c r="X810" s="26"/>
    </row>
    <row r="811" ht="15.75" customHeight="1">
      <c r="B811" s="18"/>
      <c r="C811" s="36"/>
      <c r="D811" s="39"/>
      <c r="E811" s="40"/>
      <c r="F811" s="41"/>
      <c r="G811" s="42"/>
      <c r="H811" s="42"/>
      <c r="I811" s="25"/>
      <c r="K811" s="27"/>
      <c r="U811" s="26"/>
      <c r="X811" s="26"/>
    </row>
    <row r="812" ht="15.75" customHeight="1">
      <c r="B812" s="18"/>
      <c r="C812" s="36"/>
      <c r="D812" s="39"/>
      <c r="E812" s="40"/>
      <c r="F812" s="41"/>
      <c r="G812" s="42"/>
      <c r="H812" s="42"/>
      <c r="I812" s="25"/>
      <c r="K812" s="27"/>
      <c r="U812" s="26"/>
      <c r="X812" s="26"/>
    </row>
    <row r="813" ht="15.75" customHeight="1">
      <c r="B813" s="18"/>
      <c r="C813" s="36"/>
      <c r="D813" s="39"/>
      <c r="E813" s="40"/>
      <c r="F813" s="41"/>
      <c r="G813" s="42"/>
      <c r="H813" s="42"/>
      <c r="I813" s="25"/>
      <c r="K813" s="27"/>
      <c r="U813" s="26"/>
      <c r="X813" s="26"/>
    </row>
    <row r="814" ht="15.75" customHeight="1">
      <c r="B814" s="18"/>
      <c r="C814" s="36"/>
      <c r="D814" s="39"/>
      <c r="E814" s="40"/>
      <c r="F814" s="41"/>
      <c r="G814" s="42"/>
      <c r="H814" s="42"/>
      <c r="I814" s="25"/>
      <c r="K814" s="27"/>
      <c r="U814" s="26"/>
      <c r="X814" s="26"/>
    </row>
    <row r="815" ht="15.75" customHeight="1">
      <c r="B815" s="18"/>
      <c r="C815" s="36"/>
      <c r="D815" s="39"/>
      <c r="E815" s="40"/>
      <c r="F815" s="41"/>
      <c r="G815" s="42"/>
      <c r="H815" s="42"/>
      <c r="I815" s="25"/>
      <c r="K815" s="27"/>
      <c r="U815" s="26"/>
      <c r="X815" s="26"/>
    </row>
    <row r="816" ht="15.75" customHeight="1">
      <c r="B816" s="18"/>
      <c r="C816" s="36"/>
      <c r="D816" s="39"/>
      <c r="E816" s="40"/>
      <c r="F816" s="41"/>
      <c r="G816" s="42"/>
      <c r="H816" s="42"/>
      <c r="I816" s="25"/>
      <c r="K816" s="27"/>
      <c r="U816" s="26"/>
      <c r="X816" s="26"/>
    </row>
    <row r="817" ht="15.75" customHeight="1">
      <c r="B817" s="18"/>
      <c r="C817" s="36"/>
      <c r="D817" s="39"/>
      <c r="E817" s="40"/>
      <c r="F817" s="41"/>
      <c r="G817" s="42"/>
      <c r="H817" s="42"/>
      <c r="I817" s="25"/>
      <c r="K817" s="27"/>
      <c r="U817" s="26"/>
      <c r="X817" s="26"/>
    </row>
    <row r="818" ht="15.75" customHeight="1">
      <c r="B818" s="18"/>
      <c r="C818" s="36"/>
      <c r="D818" s="39"/>
      <c r="E818" s="40"/>
      <c r="F818" s="41"/>
      <c r="G818" s="42"/>
      <c r="H818" s="42"/>
      <c r="I818" s="25"/>
      <c r="K818" s="27"/>
      <c r="U818" s="26"/>
      <c r="X818" s="26"/>
    </row>
    <row r="819" ht="15.75" customHeight="1">
      <c r="B819" s="18"/>
      <c r="C819" s="36"/>
      <c r="D819" s="39"/>
      <c r="E819" s="40"/>
      <c r="F819" s="41"/>
      <c r="G819" s="42"/>
      <c r="H819" s="42"/>
      <c r="I819" s="25"/>
      <c r="K819" s="27"/>
      <c r="U819" s="26"/>
      <c r="X819" s="26"/>
    </row>
    <row r="820" ht="15.75" customHeight="1">
      <c r="B820" s="18"/>
      <c r="C820" s="36"/>
      <c r="D820" s="39"/>
      <c r="E820" s="40"/>
      <c r="F820" s="41"/>
      <c r="G820" s="42"/>
      <c r="H820" s="42"/>
      <c r="I820" s="25"/>
      <c r="K820" s="27"/>
      <c r="U820" s="26"/>
      <c r="X820" s="26"/>
    </row>
    <row r="821" ht="15.75" customHeight="1">
      <c r="B821" s="18"/>
      <c r="C821" s="36"/>
      <c r="D821" s="39"/>
      <c r="E821" s="40"/>
      <c r="F821" s="41"/>
      <c r="G821" s="42"/>
      <c r="H821" s="42"/>
      <c r="I821" s="25"/>
      <c r="K821" s="27"/>
      <c r="U821" s="26"/>
      <c r="X821" s="26"/>
    </row>
    <row r="822" ht="15.75" customHeight="1">
      <c r="B822" s="18"/>
      <c r="C822" s="36"/>
      <c r="D822" s="39"/>
      <c r="E822" s="40"/>
      <c r="F822" s="41"/>
      <c r="G822" s="42"/>
      <c r="H822" s="42"/>
      <c r="I822" s="25"/>
      <c r="K822" s="27"/>
      <c r="U822" s="26"/>
      <c r="X822" s="26"/>
    </row>
    <row r="823" ht="15.75" customHeight="1">
      <c r="B823" s="18"/>
      <c r="C823" s="36"/>
      <c r="D823" s="39"/>
      <c r="E823" s="40"/>
      <c r="F823" s="41"/>
      <c r="G823" s="42"/>
      <c r="H823" s="42"/>
      <c r="I823" s="25"/>
      <c r="K823" s="27"/>
      <c r="U823" s="26"/>
      <c r="X823" s="26"/>
    </row>
    <row r="824" ht="15.75" customHeight="1">
      <c r="B824" s="18"/>
      <c r="C824" s="36"/>
      <c r="D824" s="39"/>
      <c r="E824" s="40"/>
      <c r="F824" s="41"/>
      <c r="G824" s="42"/>
      <c r="H824" s="42"/>
      <c r="I824" s="25"/>
      <c r="K824" s="27"/>
      <c r="U824" s="26"/>
      <c r="X824" s="26"/>
    </row>
    <row r="825" ht="15.75" customHeight="1">
      <c r="B825" s="18"/>
      <c r="C825" s="36"/>
      <c r="D825" s="39"/>
      <c r="E825" s="40"/>
      <c r="F825" s="41"/>
      <c r="G825" s="42"/>
      <c r="H825" s="42"/>
      <c r="I825" s="25"/>
      <c r="K825" s="27"/>
      <c r="U825" s="26"/>
      <c r="X825" s="26"/>
    </row>
    <row r="826" ht="15.75" customHeight="1">
      <c r="B826" s="18"/>
      <c r="C826" s="36"/>
      <c r="D826" s="39"/>
      <c r="E826" s="40"/>
      <c r="F826" s="41"/>
      <c r="G826" s="42"/>
      <c r="H826" s="42"/>
      <c r="I826" s="25"/>
      <c r="K826" s="27"/>
      <c r="U826" s="26"/>
      <c r="X826" s="26"/>
    </row>
    <row r="827" ht="15.75" customHeight="1">
      <c r="B827" s="18"/>
      <c r="C827" s="36"/>
      <c r="D827" s="39"/>
      <c r="E827" s="40"/>
      <c r="F827" s="41"/>
      <c r="G827" s="42"/>
      <c r="H827" s="42"/>
      <c r="I827" s="25"/>
      <c r="K827" s="27"/>
      <c r="U827" s="26"/>
      <c r="X827" s="26"/>
    </row>
    <row r="828" ht="15.75" customHeight="1">
      <c r="B828" s="18"/>
      <c r="C828" s="36"/>
      <c r="D828" s="39"/>
      <c r="E828" s="40"/>
      <c r="F828" s="41"/>
      <c r="G828" s="42"/>
      <c r="H828" s="42"/>
      <c r="I828" s="25"/>
      <c r="K828" s="27"/>
      <c r="U828" s="26"/>
      <c r="X828" s="26"/>
    </row>
    <row r="829" ht="15.75" customHeight="1">
      <c r="B829" s="18"/>
      <c r="C829" s="36"/>
      <c r="D829" s="39"/>
      <c r="E829" s="40"/>
      <c r="F829" s="41"/>
      <c r="G829" s="42"/>
      <c r="H829" s="42"/>
      <c r="I829" s="25"/>
      <c r="K829" s="27"/>
      <c r="U829" s="26"/>
      <c r="X829" s="26"/>
    </row>
    <row r="830" ht="15.75" customHeight="1">
      <c r="B830" s="18"/>
      <c r="C830" s="36"/>
      <c r="D830" s="39"/>
      <c r="E830" s="40"/>
      <c r="F830" s="41"/>
      <c r="G830" s="42"/>
      <c r="H830" s="42"/>
      <c r="I830" s="25"/>
      <c r="K830" s="27"/>
      <c r="U830" s="26"/>
      <c r="X830" s="26"/>
    </row>
    <row r="831" ht="15.75" customHeight="1">
      <c r="B831" s="18"/>
      <c r="C831" s="36"/>
      <c r="D831" s="39"/>
      <c r="E831" s="40"/>
      <c r="F831" s="41"/>
      <c r="G831" s="42"/>
      <c r="H831" s="42"/>
      <c r="I831" s="25"/>
      <c r="K831" s="27"/>
      <c r="U831" s="26"/>
      <c r="X831" s="26"/>
    </row>
    <row r="832" ht="15.75" customHeight="1">
      <c r="B832" s="18"/>
      <c r="C832" s="36"/>
      <c r="D832" s="39"/>
      <c r="E832" s="40"/>
      <c r="F832" s="41"/>
      <c r="G832" s="42"/>
      <c r="H832" s="42"/>
      <c r="I832" s="25"/>
      <c r="K832" s="27"/>
      <c r="U832" s="26"/>
      <c r="X832" s="26"/>
    </row>
    <row r="833" ht="15.75" customHeight="1">
      <c r="B833" s="18"/>
      <c r="C833" s="36"/>
      <c r="D833" s="39"/>
      <c r="E833" s="40"/>
      <c r="F833" s="41"/>
      <c r="G833" s="42"/>
      <c r="H833" s="42"/>
      <c r="I833" s="25"/>
      <c r="K833" s="27"/>
      <c r="U833" s="26"/>
      <c r="X833" s="26"/>
    </row>
    <row r="834" ht="15.75" customHeight="1">
      <c r="B834" s="18"/>
      <c r="C834" s="36"/>
      <c r="D834" s="39"/>
      <c r="E834" s="40"/>
      <c r="F834" s="41"/>
      <c r="G834" s="42"/>
      <c r="H834" s="42"/>
      <c r="I834" s="25"/>
      <c r="K834" s="27"/>
      <c r="U834" s="26"/>
      <c r="X834" s="26"/>
    </row>
    <row r="835" ht="15.75" customHeight="1">
      <c r="B835" s="18"/>
      <c r="C835" s="36"/>
      <c r="D835" s="39"/>
      <c r="E835" s="40"/>
      <c r="F835" s="41"/>
      <c r="G835" s="42"/>
      <c r="H835" s="42"/>
      <c r="I835" s="25"/>
      <c r="K835" s="27"/>
      <c r="U835" s="26"/>
      <c r="X835" s="26"/>
    </row>
    <row r="836" ht="15.75" customHeight="1">
      <c r="B836" s="18"/>
      <c r="C836" s="36"/>
      <c r="D836" s="39"/>
      <c r="E836" s="40"/>
      <c r="F836" s="41"/>
      <c r="G836" s="42"/>
      <c r="H836" s="42"/>
      <c r="I836" s="25"/>
      <c r="K836" s="27"/>
      <c r="U836" s="26"/>
      <c r="X836" s="26"/>
    </row>
    <row r="837" ht="15.75" customHeight="1">
      <c r="B837" s="18"/>
      <c r="C837" s="36"/>
      <c r="D837" s="39"/>
      <c r="E837" s="40"/>
      <c r="F837" s="41"/>
      <c r="G837" s="42"/>
      <c r="H837" s="42"/>
      <c r="I837" s="25"/>
      <c r="K837" s="27"/>
      <c r="U837" s="26"/>
      <c r="X837" s="26"/>
    </row>
    <row r="838" ht="15.75" customHeight="1">
      <c r="B838" s="18"/>
      <c r="C838" s="36"/>
      <c r="D838" s="39"/>
      <c r="E838" s="40"/>
      <c r="F838" s="41"/>
      <c r="G838" s="42"/>
      <c r="H838" s="42"/>
      <c r="I838" s="25"/>
      <c r="K838" s="27"/>
      <c r="U838" s="26"/>
      <c r="X838" s="26"/>
    </row>
    <row r="839" ht="15.75" customHeight="1">
      <c r="B839" s="18"/>
      <c r="C839" s="36"/>
      <c r="D839" s="39"/>
      <c r="E839" s="40"/>
      <c r="F839" s="41"/>
      <c r="G839" s="42"/>
      <c r="H839" s="42"/>
      <c r="I839" s="25"/>
      <c r="K839" s="27"/>
      <c r="U839" s="26"/>
      <c r="X839" s="26"/>
    </row>
    <row r="840" ht="15.75" customHeight="1">
      <c r="B840" s="18"/>
      <c r="C840" s="36"/>
      <c r="D840" s="39"/>
      <c r="E840" s="40"/>
      <c r="F840" s="41"/>
      <c r="G840" s="42"/>
      <c r="H840" s="42"/>
      <c r="I840" s="25"/>
      <c r="K840" s="27"/>
      <c r="U840" s="26"/>
      <c r="X840" s="26"/>
    </row>
    <row r="841" ht="15.75" customHeight="1">
      <c r="B841" s="18"/>
      <c r="C841" s="36"/>
      <c r="D841" s="39"/>
      <c r="E841" s="40"/>
      <c r="F841" s="41"/>
      <c r="G841" s="42"/>
      <c r="H841" s="42"/>
      <c r="I841" s="25"/>
      <c r="K841" s="27"/>
      <c r="U841" s="26"/>
      <c r="X841" s="26"/>
    </row>
    <row r="842" ht="15.75" customHeight="1">
      <c r="B842" s="18"/>
      <c r="C842" s="36"/>
      <c r="D842" s="39"/>
      <c r="E842" s="40"/>
      <c r="F842" s="41"/>
      <c r="G842" s="42"/>
      <c r="H842" s="42"/>
      <c r="I842" s="25"/>
      <c r="K842" s="27"/>
      <c r="U842" s="26"/>
      <c r="X842" s="26"/>
    </row>
    <row r="843" ht="15.75" customHeight="1">
      <c r="B843" s="18"/>
      <c r="C843" s="36"/>
      <c r="D843" s="39"/>
      <c r="E843" s="40"/>
      <c r="F843" s="41"/>
      <c r="G843" s="42"/>
      <c r="H843" s="42"/>
      <c r="I843" s="25"/>
      <c r="K843" s="27"/>
      <c r="U843" s="26"/>
      <c r="X843" s="26"/>
    </row>
    <row r="844" ht="15.75" customHeight="1">
      <c r="B844" s="18"/>
      <c r="C844" s="36"/>
      <c r="D844" s="39"/>
      <c r="E844" s="40"/>
      <c r="F844" s="41"/>
      <c r="G844" s="42"/>
      <c r="H844" s="42"/>
      <c r="I844" s="25"/>
      <c r="K844" s="27"/>
      <c r="U844" s="26"/>
      <c r="X844" s="26"/>
    </row>
    <row r="845" ht="15.75" customHeight="1">
      <c r="B845" s="18"/>
      <c r="C845" s="36"/>
      <c r="D845" s="39"/>
      <c r="E845" s="40"/>
      <c r="F845" s="41"/>
      <c r="G845" s="42"/>
      <c r="H845" s="42"/>
      <c r="I845" s="25"/>
      <c r="K845" s="27"/>
      <c r="U845" s="26"/>
      <c r="X845" s="26"/>
    </row>
    <row r="846" ht="15.75" customHeight="1">
      <c r="B846" s="18"/>
      <c r="C846" s="36"/>
      <c r="D846" s="39"/>
      <c r="E846" s="40"/>
      <c r="F846" s="41"/>
      <c r="G846" s="42"/>
      <c r="H846" s="42"/>
      <c r="I846" s="25"/>
      <c r="K846" s="27"/>
      <c r="U846" s="26"/>
      <c r="X846" s="26"/>
    </row>
    <row r="847" ht="15.75" customHeight="1">
      <c r="B847" s="18"/>
      <c r="C847" s="36"/>
      <c r="D847" s="39"/>
      <c r="E847" s="40"/>
      <c r="F847" s="41"/>
      <c r="G847" s="42"/>
      <c r="H847" s="42"/>
      <c r="I847" s="25"/>
      <c r="K847" s="27"/>
      <c r="U847" s="26"/>
      <c r="X847" s="26"/>
    </row>
    <row r="848" ht="15.75" customHeight="1">
      <c r="B848" s="18"/>
      <c r="C848" s="36"/>
      <c r="D848" s="39"/>
      <c r="E848" s="40"/>
      <c r="F848" s="41"/>
      <c r="G848" s="42"/>
      <c r="H848" s="42"/>
      <c r="I848" s="25"/>
      <c r="K848" s="27"/>
      <c r="U848" s="26"/>
      <c r="X848" s="26"/>
    </row>
    <row r="849" ht="15.75" customHeight="1">
      <c r="B849" s="18"/>
      <c r="C849" s="36"/>
      <c r="D849" s="39"/>
      <c r="E849" s="40"/>
      <c r="F849" s="41"/>
      <c r="G849" s="42"/>
      <c r="H849" s="42"/>
      <c r="I849" s="25"/>
      <c r="K849" s="27"/>
      <c r="U849" s="26"/>
      <c r="X849" s="26"/>
    </row>
    <row r="850" ht="15.75" customHeight="1">
      <c r="B850" s="18"/>
      <c r="C850" s="36"/>
      <c r="D850" s="39"/>
      <c r="E850" s="40"/>
      <c r="F850" s="41"/>
      <c r="G850" s="42"/>
      <c r="H850" s="42"/>
      <c r="I850" s="25"/>
      <c r="K850" s="27"/>
      <c r="U850" s="26"/>
      <c r="X850" s="26"/>
    </row>
    <row r="851" ht="15.75" customHeight="1">
      <c r="B851" s="18"/>
      <c r="C851" s="36"/>
      <c r="D851" s="39"/>
      <c r="E851" s="40"/>
      <c r="F851" s="41"/>
      <c r="G851" s="42"/>
      <c r="H851" s="42"/>
      <c r="I851" s="25"/>
      <c r="K851" s="27"/>
      <c r="U851" s="26"/>
      <c r="X851" s="26"/>
    </row>
    <row r="852" ht="15.75" customHeight="1">
      <c r="B852" s="18"/>
      <c r="C852" s="36"/>
      <c r="D852" s="39"/>
      <c r="E852" s="40"/>
      <c r="F852" s="41"/>
      <c r="G852" s="42"/>
      <c r="H852" s="42"/>
      <c r="I852" s="25"/>
      <c r="K852" s="27"/>
      <c r="U852" s="26"/>
      <c r="X852" s="26"/>
    </row>
    <row r="853" ht="15.75" customHeight="1">
      <c r="B853" s="18"/>
      <c r="C853" s="36"/>
      <c r="D853" s="39"/>
      <c r="E853" s="40"/>
      <c r="F853" s="41"/>
      <c r="G853" s="42"/>
      <c r="H853" s="42"/>
      <c r="I853" s="25"/>
      <c r="K853" s="27"/>
      <c r="U853" s="26"/>
      <c r="X853" s="26"/>
    </row>
    <row r="854" ht="15.75" customHeight="1">
      <c r="B854" s="18"/>
      <c r="C854" s="36"/>
      <c r="D854" s="39"/>
      <c r="E854" s="40"/>
      <c r="F854" s="41"/>
      <c r="G854" s="42"/>
      <c r="H854" s="42"/>
      <c r="I854" s="25"/>
      <c r="K854" s="27"/>
      <c r="U854" s="26"/>
      <c r="X854" s="26"/>
    </row>
    <row r="855" ht="15.75" customHeight="1">
      <c r="B855" s="18"/>
      <c r="C855" s="36"/>
      <c r="D855" s="39"/>
      <c r="E855" s="40"/>
      <c r="F855" s="41"/>
      <c r="G855" s="42"/>
      <c r="H855" s="42"/>
      <c r="I855" s="25"/>
      <c r="K855" s="27"/>
      <c r="U855" s="26"/>
      <c r="X855" s="26"/>
    </row>
    <row r="856" ht="15.75" customHeight="1">
      <c r="B856" s="18"/>
      <c r="C856" s="36"/>
      <c r="D856" s="39"/>
      <c r="E856" s="40"/>
      <c r="F856" s="41"/>
      <c r="G856" s="42"/>
      <c r="H856" s="42"/>
      <c r="I856" s="25"/>
      <c r="K856" s="27"/>
      <c r="U856" s="26"/>
      <c r="X856" s="26"/>
    </row>
    <row r="857" ht="15.75" customHeight="1">
      <c r="B857" s="18"/>
      <c r="C857" s="36"/>
      <c r="D857" s="39"/>
      <c r="E857" s="40"/>
      <c r="F857" s="41"/>
      <c r="G857" s="42"/>
      <c r="H857" s="42"/>
      <c r="I857" s="25"/>
      <c r="K857" s="27"/>
      <c r="U857" s="26"/>
      <c r="X857" s="26"/>
    </row>
    <row r="858" ht="15.75" customHeight="1">
      <c r="B858" s="18"/>
      <c r="C858" s="36"/>
      <c r="D858" s="39"/>
      <c r="E858" s="40"/>
      <c r="F858" s="41"/>
      <c r="G858" s="42"/>
      <c r="H858" s="42"/>
      <c r="I858" s="25"/>
      <c r="K858" s="27"/>
      <c r="U858" s="26"/>
      <c r="X858" s="26"/>
    </row>
    <row r="859" ht="15.75" customHeight="1">
      <c r="B859" s="18"/>
      <c r="C859" s="36"/>
      <c r="D859" s="39"/>
      <c r="E859" s="40"/>
      <c r="F859" s="41"/>
      <c r="G859" s="42"/>
      <c r="H859" s="42"/>
      <c r="I859" s="25"/>
      <c r="K859" s="27"/>
      <c r="U859" s="26"/>
      <c r="X859" s="26"/>
    </row>
    <row r="860" ht="15.75" customHeight="1">
      <c r="B860" s="18"/>
      <c r="C860" s="36"/>
      <c r="D860" s="39"/>
      <c r="E860" s="40"/>
      <c r="F860" s="41"/>
      <c r="G860" s="42"/>
      <c r="H860" s="42"/>
      <c r="I860" s="25"/>
      <c r="K860" s="27"/>
      <c r="U860" s="26"/>
      <c r="X860" s="26"/>
    </row>
    <row r="861" ht="15.75" customHeight="1">
      <c r="B861" s="18"/>
      <c r="C861" s="36"/>
      <c r="D861" s="39"/>
      <c r="E861" s="40"/>
      <c r="F861" s="41"/>
      <c r="G861" s="42"/>
      <c r="H861" s="42"/>
      <c r="I861" s="25"/>
      <c r="K861" s="27"/>
      <c r="U861" s="26"/>
      <c r="X861" s="26"/>
    </row>
    <row r="862" ht="15.75" customHeight="1">
      <c r="B862" s="18"/>
      <c r="C862" s="36"/>
      <c r="D862" s="39"/>
      <c r="E862" s="40"/>
      <c r="F862" s="41"/>
      <c r="G862" s="42"/>
      <c r="H862" s="42"/>
      <c r="I862" s="25"/>
      <c r="K862" s="27"/>
      <c r="U862" s="26"/>
      <c r="X862" s="26"/>
    </row>
    <row r="863" ht="15.75" customHeight="1">
      <c r="B863" s="18"/>
      <c r="C863" s="36"/>
      <c r="D863" s="39"/>
      <c r="E863" s="40"/>
      <c r="F863" s="41"/>
      <c r="G863" s="42"/>
      <c r="H863" s="42"/>
      <c r="I863" s="25"/>
      <c r="K863" s="27"/>
      <c r="U863" s="26"/>
      <c r="X863" s="26"/>
    </row>
    <row r="864" ht="15.75" customHeight="1">
      <c r="B864" s="18"/>
      <c r="C864" s="36"/>
      <c r="D864" s="39"/>
      <c r="E864" s="40"/>
      <c r="F864" s="41"/>
      <c r="G864" s="42"/>
      <c r="H864" s="42"/>
      <c r="I864" s="25"/>
      <c r="K864" s="27"/>
      <c r="U864" s="26"/>
      <c r="X864" s="26"/>
    </row>
    <row r="865" ht="15.75" customHeight="1">
      <c r="B865" s="18"/>
      <c r="C865" s="36"/>
      <c r="D865" s="39"/>
      <c r="E865" s="40"/>
      <c r="F865" s="41"/>
      <c r="G865" s="42"/>
      <c r="H865" s="42"/>
      <c r="I865" s="25"/>
      <c r="K865" s="27"/>
      <c r="U865" s="26"/>
      <c r="X865" s="26"/>
    </row>
    <row r="866" ht="15.75" customHeight="1">
      <c r="B866" s="18"/>
      <c r="C866" s="36"/>
      <c r="D866" s="39"/>
      <c r="E866" s="40"/>
      <c r="F866" s="41"/>
      <c r="G866" s="42"/>
      <c r="H866" s="42"/>
      <c r="I866" s="25"/>
      <c r="K866" s="27"/>
      <c r="U866" s="26"/>
      <c r="X866" s="26"/>
    </row>
    <row r="867" ht="15.75" customHeight="1">
      <c r="B867" s="18"/>
      <c r="C867" s="36"/>
      <c r="D867" s="39"/>
      <c r="E867" s="40"/>
      <c r="F867" s="41"/>
      <c r="G867" s="42"/>
      <c r="H867" s="42"/>
      <c r="I867" s="25"/>
      <c r="K867" s="27"/>
      <c r="U867" s="26"/>
      <c r="X867" s="26"/>
    </row>
    <row r="868" ht="15.75" customHeight="1">
      <c r="B868" s="18"/>
      <c r="C868" s="36"/>
      <c r="D868" s="39"/>
      <c r="E868" s="40"/>
      <c r="F868" s="41"/>
      <c r="G868" s="42"/>
      <c r="H868" s="42"/>
      <c r="I868" s="25"/>
      <c r="K868" s="27"/>
      <c r="U868" s="26"/>
      <c r="X868" s="26"/>
    </row>
    <row r="869" ht="15.75" customHeight="1">
      <c r="B869" s="18"/>
      <c r="C869" s="36"/>
      <c r="D869" s="39"/>
      <c r="E869" s="40"/>
      <c r="F869" s="41"/>
      <c r="G869" s="42"/>
      <c r="H869" s="42"/>
      <c r="I869" s="25"/>
      <c r="K869" s="27"/>
      <c r="U869" s="26"/>
      <c r="X869" s="26"/>
    </row>
    <row r="870" ht="15.75" customHeight="1">
      <c r="B870" s="18"/>
      <c r="C870" s="36"/>
      <c r="D870" s="39"/>
      <c r="E870" s="40"/>
      <c r="F870" s="41"/>
      <c r="G870" s="42"/>
      <c r="H870" s="42"/>
      <c r="I870" s="25"/>
      <c r="K870" s="27"/>
      <c r="U870" s="26"/>
      <c r="X870" s="26"/>
    </row>
    <row r="871" ht="15.75" customHeight="1">
      <c r="B871" s="18"/>
      <c r="C871" s="36"/>
      <c r="D871" s="39"/>
      <c r="E871" s="40"/>
      <c r="F871" s="41"/>
      <c r="G871" s="42"/>
      <c r="H871" s="42"/>
      <c r="I871" s="25"/>
      <c r="K871" s="27"/>
      <c r="U871" s="26"/>
      <c r="X871" s="26"/>
    </row>
    <row r="872" ht="15.75" customHeight="1">
      <c r="B872" s="18"/>
      <c r="C872" s="36"/>
      <c r="D872" s="39"/>
      <c r="E872" s="40"/>
      <c r="F872" s="41"/>
      <c r="G872" s="42"/>
      <c r="H872" s="42"/>
      <c r="I872" s="25"/>
      <c r="K872" s="27"/>
      <c r="U872" s="26"/>
      <c r="X872" s="26"/>
    </row>
    <row r="873" ht="15.75" customHeight="1">
      <c r="B873" s="18"/>
      <c r="C873" s="36"/>
      <c r="D873" s="39"/>
      <c r="E873" s="40"/>
      <c r="F873" s="41"/>
      <c r="G873" s="42"/>
      <c r="H873" s="42"/>
      <c r="I873" s="25"/>
      <c r="K873" s="27"/>
      <c r="U873" s="26"/>
      <c r="X873" s="26"/>
    </row>
    <row r="874" ht="15.75" customHeight="1">
      <c r="B874" s="18"/>
      <c r="C874" s="36"/>
      <c r="D874" s="39"/>
      <c r="E874" s="40"/>
      <c r="F874" s="41"/>
      <c r="G874" s="42"/>
      <c r="H874" s="42"/>
      <c r="I874" s="25"/>
      <c r="K874" s="27"/>
      <c r="U874" s="26"/>
      <c r="X874" s="26"/>
    </row>
    <row r="875" ht="15.75" customHeight="1">
      <c r="B875" s="18"/>
      <c r="C875" s="36"/>
      <c r="D875" s="39"/>
      <c r="E875" s="40"/>
      <c r="F875" s="41"/>
      <c r="G875" s="42"/>
      <c r="H875" s="42"/>
      <c r="I875" s="25"/>
      <c r="K875" s="27"/>
      <c r="U875" s="26"/>
      <c r="X875" s="26"/>
    </row>
    <row r="876" ht="15.75" customHeight="1">
      <c r="B876" s="18"/>
      <c r="C876" s="36"/>
      <c r="D876" s="39"/>
      <c r="E876" s="40"/>
      <c r="F876" s="41"/>
      <c r="G876" s="42"/>
      <c r="H876" s="42"/>
      <c r="I876" s="25"/>
      <c r="K876" s="27"/>
      <c r="U876" s="26"/>
      <c r="X876" s="26"/>
    </row>
    <row r="877" ht="15.75" customHeight="1">
      <c r="B877" s="18"/>
      <c r="C877" s="36"/>
      <c r="D877" s="39"/>
      <c r="E877" s="40"/>
      <c r="F877" s="41"/>
      <c r="G877" s="42"/>
      <c r="H877" s="42"/>
      <c r="I877" s="25"/>
      <c r="K877" s="27"/>
      <c r="U877" s="26"/>
      <c r="X877" s="26"/>
    </row>
    <row r="878" ht="15.75" customHeight="1">
      <c r="B878" s="18"/>
      <c r="C878" s="36"/>
      <c r="D878" s="39"/>
      <c r="E878" s="40"/>
      <c r="F878" s="41"/>
      <c r="G878" s="42"/>
      <c r="H878" s="42"/>
      <c r="I878" s="25"/>
      <c r="K878" s="27"/>
      <c r="U878" s="26"/>
      <c r="X878" s="26"/>
    </row>
    <row r="879" ht="15.75" customHeight="1">
      <c r="B879" s="18"/>
      <c r="C879" s="36"/>
      <c r="D879" s="39"/>
      <c r="E879" s="40"/>
      <c r="F879" s="41"/>
      <c r="G879" s="42"/>
      <c r="H879" s="42"/>
      <c r="I879" s="25"/>
      <c r="K879" s="27"/>
      <c r="U879" s="26"/>
      <c r="X879" s="26"/>
    </row>
    <row r="880" ht="15.75" customHeight="1">
      <c r="B880" s="18"/>
      <c r="C880" s="36"/>
      <c r="D880" s="39"/>
      <c r="E880" s="40"/>
      <c r="F880" s="41"/>
      <c r="G880" s="42"/>
      <c r="H880" s="42"/>
      <c r="I880" s="25"/>
      <c r="K880" s="27"/>
      <c r="U880" s="26"/>
      <c r="X880" s="26"/>
    </row>
    <row r="881" ht="15.75" customHeight="1">
      <c r="B881" s="18"/>
      <c r="C881" s="36"/>
      <c r="D881" s="39"/>
      <c r="E881" s="40"/>
      <c r="F881" s="41"/>
      <c r="G881" s="42"/>
      <c r="H881" s="42"/>
      <c r="I881" s="25"/>
      <c r="K881" s="27"/>
      <c r="U881" s="26"/>
      <c r="X881" s="26"/>
    </row>
    <row r="882" ht="15.75" customHeight="1">
      <c r="B882" s="18"/>
      <c r="C882" s="36"/>
      <c r="D882" s="39"/>
      <c r="E882" s="40"/>
      <c r="F882" s="41"/>
      <c r="G882" s="42"/>
      <c r="H882" s="42"/>
      <c r="I882" s="25"/>
      <c r="K882" s="27"/>
      <c r="U882" s="26"/>
      <c r="X882" s="26"/>
    </row>
    <row r="883" ht="15.75" customHeight="1">
      <c r="B883" s="18"/>
      <c r="C883" s="36"/>
      <c r="D883" s="39"/>
      <c r="E883" s="40"/>
      <c r="F883" s="41"/>
      <c r="G883" s="42"/>
      <c r="H883" s="42"/>
      <c r="I883" s="25"/>
      <c r="K883" s="27"/>
      <c r="U883" s="26"/>
      <c r="X883" s="26"/>
    </row>
    <row r="884" ht="15.75" customHeight="1">
      <c r="B884" s="18"/>
      <c r="C884" s="36"/>
      <c r="D884" s="39"/>
      <c r="E884" s="40"/>
      <c r="F884" s="41"/>
      <c r="G884" s="42"/>
      <c r="H884" s="42"/>
      <c r="I884" s="25"/>
      <c r="K884" s="27"/>
      <c r="U884" s="26"/>
      <c r="X884" s="26"/>
    </row>
    <row r="885" ht="15.75" customHeight="1">
      <c r="B885" s="18"/>
      <c r="C885" s="36"/>
      <c r="D885" s="39"/>
      <c r="E885" s="40"/>
      <c r="F885" s="41"/>
      <c r="G885" s="42"/>
      <c r="H885" s="42"/>
      <c r="I885" s="25"/>
      <c r="K885" s="27"/>
      <c r="U885" s="26"/>
      <c r="X885" s="26"/>
    </row>
    <row r="886" ht="15.75" customHeight="1">
      <c r="B886" s="18"/>
      <c r="C886" s="36"/>
      <c r="D886" s="39"/>
      <c r="E886" s="40"/>
      <c r="F886" s="41"/>
      <c r="G886" s="42"/>
      <c r="H886" s="42"/>
      <c r="I886" s="25"/>
      <c r="K886" s="27"/>
      <c r="U886" s="26"/>
      <c r="X886" s="26"/>
    </row>
    <row r="887" ht="15.75" customHeight="1">
      <c r="B887" s="18"/>
      <c r="C887" s="36"/>
      <c r="D887" s="39"/>
      <c r="E887" s="40"/>
      <c r="F887" s="41"/>
      <c r="G887" s="42"/>
      <c r="H887" s="42"/>
      <c r="I887" s="25"/>
      <c r="K887" s="27"/>
      <c r="U887" s="26"/>
      <c r="X887" s="26"/>
    </row>
    <row r="888" ht="15.75" customHeight="1">
      <c r="B888" s="18"/>
      <c r="C888" s="36"/>
      <c r="D888" s="39"/>
      <c r="E888" s="40"/>
      <c r="F888" s="41"/>
      <c r="G888" s="42"/>
      <c r="H888" s="42"/>
      <c r="I888" s="25"/>
      <c r="K888" s="27"/>
      <c r="U888" s="26"/>
      <c r="X888" s="26"/>
    </row>
    <row r="889" ht="15.75" customHeight="1">
      <c r="B889" s="18"/>
      <c r="C889" s="36"/>
      <c r="D889" s="39"/>
      <c r="E889" s="40"/>
      <c r="F889" s="41"/>
      <c r="G889" s="42"/>
      <c r="H889" s="42"/>
      <c r="I889" s="25"/>
      <c r="K889" s="27"/>
      <c r="U889" s="26"/>
      <c r="X889" s="26"/>
    </row>
    <row r="890" ht="15.75" customHeight="1">
      <c r="B890" s="18"/>
      <c r="C890" s="36"/>
      <c r="D890" s="39"/>
      <c r="E890" s="40"/>
      <c r="F890" s="41"/>
      <c r="G890" s="42"/>
      <c r="H890" s="42"/>
      <c r="I890" s="25"/>
      <c r="K890" s="27"/>
      <c r="U890" s="26"/>
      <c r="X890" s="26"/>
    </row>
    <row r="891" ht="15.75" customHeight="1">
      <c r="B891" s="18"/>
      <c r="C891" s="36"/>
      <c r="D891" s="39"/>
      <c r="E891" s="40"/>
      <c r="F891" s="41"/>
      <c r="G891" s="42"/>
      <c r="H891" s="42"/>
      <c r="I891" s="25"/>
      <c r="K891" s="27"/>
      <c r="U891" s="26"/>
      <c r="X891" s="26"/>
    </row>
    <row r="892" ht="15.75" customHeight="1">
      <c r="B892" s="18"/>
      <c r="C892" s="36"/>
      <c r="D892" s="39"/>
      <c r="E892" s="40"/>
      <c r="F892" s="41"/>
      <c r="G892" s="42"/>
      <c r="H892" s="42"/>
      <c r="I892" s="25"/>
      <c r="K892" s="27"/>
      <c r="U892" s="26"/>
      <c r="X892" s="26"/>
    </row>
    <row r="893" ht="15.75" customHeight="1">
      <c r="B893" s="18"/>
      <c r="C893" s="36"/>
      <c r="D893" s="39"/>
      <c r="E893" s="40"/>
      <c r="F893" s="41"/>
      <c r="G893" s="42"/>
      <c r="H893" s="42"/>
      <c r="I893" s="25"/>
      <c r="K893" s="27"/>
      <c r="U893" s="26"/>
      <c r="X893" s="26"/>
    </row>
    <row r="894" ht="15.75" customHeight="1">
      <c r="B894" s="18"/>
      <c r="C894" s="36"/>
      <c r="D894" s="39"/>
      <c r="E894" s="40"/>
      <c r="F894" s="41"/>
      <c r="G894" s="42"/>
      <c r="H894" s="42"/>
      <c r="I894" s="25"/>
      <c r="K894" s="27"/>
      <c r="U894" s="26"/>
      <c r="X894" s="26"/>
    </row>
    <row r="895" ht="15.75" customHeight="1">
      <c r="B895" s="18"/>
      <c r="C895" s="36"/>
      <c r="D895" s="39"/>
      <c r="E895" s="40"/>
      <c r="F895" s="41"/>
      <c r="G895" s="42"/>
      <c r="H895" s="42"/>
      <c r="I895" s="25"/>
      <c r="K895" s="27"/>
      <c r="U895" s="26"/>
      <c r="X895" s="26"/>
    </row>
    <row r="896" ht="15.75" customHeight="1">
      <c r="B896" s="18"/>
      <c r="C896" s="36"/>
      <c r="D896" s="39"/>
      <c r="E896" s="40"/>
      <c r="F896" s="41"/>
      <c r="G896" s="42"/>
      <c r="H896" s="42"/>
      <c r="I896" s="25"/>
      <c r="K896" s="27"/>
      <c r="U896" s="26"/>
      <c r="X896" s="26"/>
    </row>
    <row r="897" ht="15.75" customHeight="1">
      <c r="B897" s="18"/>
      <c r="C897" s="36"/>
      <c r="D897" s="39"/>
      <c r="E897" s="40"/>
      <c r="F897" s="41"/>
      <c r="G897" s="42"/>
      <c r="H897" s="42"/>
      <c r="I897" s="25"/>
      <c r="K897" s="27"/>
      <c r="U897" s="26"/>
      <c r="X897" s="26"/>
    </row>
    <row r="898" ht="15.75" customHeight="1">
      <c r="B898" s="18"/>
      <c r="C898" s="36"/>
      <c r="D898" s="39"/>
      <c r="E898" s="40"/>
      <c r="F898" s="41"/>
      <c r="G898" s="42"/>
      <c r="H898" s="42"/>
      <c r="I898" s="25"/>
      <c r="K898" s="27"/>
      <c r="U898" s="26"/>
      <c r="X898" s="26"/>
    </row>
    <row r="899" ht="15.75" customHeight="1">
      <c r="B899" s="18"/>
      <c r="C899" s="36"/>
      <c r="D899" s="39"/>
      <c r="E899" s="40"/>
      <c r="F899" s="41"/>
      <c r="G899" s="42"/>
      <c r="H899" s="42"/>
      <c r="I899" s="25"/>
      <c r="K899" s="27"/>
      <c r="U899" s="26"/>
      <c r="X899" s="26"/>
    </row>
    <row r="900" ht="15.75" customHeight="1">
      <c r="B900" s="18"/>
      <c r="C900" s="36"/>
      <c r="D900" s="39"/>
      <c r="E900" s="40"/>
      <c r="F900" s="41"/>
      <c r="G900" s="42"/>
      <c r="H900" s="42"/>
      <c r="I900" s="25"/>
      <c r="K900" s="27"/>
      <c r="U900" s="26"/>
      <c r="X900" s="26"/>
    </row>
    <row r="901" ht="15.75" customHeight="1">
      <c r="B901" s="18"/>
      <c r="C901" s="36"/>
      <c r="D901" s="39"/>
      <c r="E901" s="40"/>
      <c r="F901" s="41"/>
      <c r="G901" s="42"/>
      <c r="H901" s="42"/>
      <c r="I901" s="25"/>
      <c r="K901" s="27"/>
      <c r="U901" s="26"/>
      <c r="X901" s="26"/>
    </row>
    <row r="902" ht="15.75" customHeight="1">
      <c r="B902" s="18"/>
      <c r="C902" s="36"/>
      <c r="D902" s="39"/>
      <c r="E902" s="40"/>
      <c r="F902" s="41"/>
      <c r="G902" s="42"/>
      <c r="H902" s="42"/>
      <c r="I902" s="25"/>
      <c r="K902" s="27"/>
      <c r="U902" s="26"/>
      <c r="X902" s="26"/>
    </row>
    <row r="903" ht="15.75" customHeight="1">
      <c r="B903" s="18"/>
      <c r="C903" s="36"/>
      <c r="D903" s="39"/>
      <c r="E903" s="40"/>
      <c r="F903" s="41"/>
      <c r="G903" s="42"/>
      <c r="H903" s="42"/>
      <c r="I903" s="25"/>
      <c r="K903" s="27"/>
      <c r="U903" s="26"/>
      <c r="X903" s="26"/>
    </row>
    <row r="904" ht="15.75" customHeight="1">
      <c r="B904" s="18"/>
      <c r="C904" s="36"/>
      <c r="D904" s="39"/>
      <c r="E904" s="40"/>
      <c r="F904" s="41"/>
      <c r="G904" s="42"/>
      <c r="H904" s="42"/>
      <c r="I904" s="25"/>
      <c r="K904" s="27"/>
      <c r="U904" s="26"/>
      <c r="X904" s="26"/>
    </row>
    <row r="905" ht="15.75" customHeight="1">
      <c r="B905" s="18"/>
      <c r="C905" s="36"/>
      <c r="D905" s="39"/>
      <c r="E905" s="40"/>
      <c r="F905" s="41"/>
      <c r="G905" s="42"/>
      <c r="H905" s="42"/>
      <c r="I905" s="25"/>
      <c r="K905" s="27"/>
      <c r="U905" s="26"/>
      <c r="X905" s="26"/>
    </row>
    <row r="906" ht="15.75" customHeight="1">
      <c r="B906" s="18"/>
      <c r="C906" s="36"/>
      <c r="D906" s="39"/>
      <c r="E906" s="40"/>
      <c r="F906" s="41"/>
      <c r="G906" s="42"/>
      <c r="H906" s="42"/>
      <c r="I906" s="25"/>
      <c r="K906" s="27"/>
      <c r="U906" s="26"/>
      <c r="X906" s="26"/>
    </row>
    <row r="907" ht="15.75" customHeight="1">
      <c r="B907" s="18"/>
      <c r="C907" s="36"/>
      <c r="D907" s="39"/>
      <c r="E907" s="40"/>
      <c r="F907" s="41"/>
      <c r="G907" s="42"/>
      <c r="H907" s="42"/>
      <c r="I907" s="25"/>
      <c r="K907" s="27"/>
      <c r="U907" s="26"/>
      <c r="X907" s="26"/>
    </row>
    <row r="908" ht="15.75" customHeight="1">
      <c r="B908" s="18"/>
      <c r="C908" s="36"/>
      <c r="D908" s="39"/>
      <c r="E908" s="40"/>
      <c r="F908" s="41"/>
      <c r="G908" s="42"/>
      <c r="H908" s="42"/>
      <c r="I908" s="25"/>
      <c r="K908" s="27"/>
      <c r="U908" s="26"/>
      <c r="X908" s="26"/>
    </row>
    <row r="909" ht="15.75" customHeight="1">
      <c r="B909" s="18"/>
      <c r="C909" s="36"/>
      <c r="D909" s="39"/>
      <c r="E909" s="40"/>
      <c r="F909" s="41"/>
      <c r="G909" s="42"/>
      <c r="H909" s="42"/>
      <c r="I909" s="25"/>
      <c r="K909" s="27"/>
      <c r="U909" s="26"/>
      <c r="X909" s="26"/>
    </row>
    <row r="910" ht="15.75" customHeight="1">
      <c r="B910" s="18"/>
      <c r="C910" s="36"/>
      <c r="D910" s="39"/>
      <c r="E910" s="40"/>
      <c r="F910" s="41"/>
      <c r="G910" s="42"/>
      <c r="H910" s="42"/>
      <c r="I910" s="25"/>
      <c r="K910" s="27"/>
      <c r="U910" s="26"/>
      <c r="X910" s="26"/>
    </row>
    <row r="911" ht="15.75" customHeight="1">
      <c r="B911" s="18"/>
      <c r="C911" s="36"/>
      <c r="D911" s="39"/>
      <c r="E911" s="40"/>
      <c r="F911" s="41"/>
      <c r="G911" s="42"/>
      <c r="H911" s="42"/>
      <c r="I911" s="25"/>
      <c r="K911" s="27"/>
      <c r="U911" s="26"/>
      <c r="X911" s="26"/>
    </row>
    <row r="912" ht="15.75" customHeight="1">
      <c r="B912" s="18"/>
      <c r="C912" s="36"/>
      <c r="D912" s="39"/>
      <c r="E912" s="40"/>
      <c r="F912" s="41"/>
      <c r="G912" s="42"/>
      <c r="H912" s="42"/>
      <c r="I912" s="25"/>
      <c r="K912" s="27"/>
      <c r="U912" s="26"/>
      <c r="X912" s="26"/>
    </row>
    <row r="913" ht="15.75" customHeight="1">
      <c r="B913" s="18"/>
      <c r="C913" s="36"/>
      <c r="D913" s="39"/>
      <c r="E913" s="40"/>
      <c r="F913" s="41"/>
      <c r="G913" s="42"/>
      <c r="H913" s="42"/>
      <c r="I913" s="25"/>
      <c r="K913" s="27"/>
      <c r="U913" s="26"/>
      <c r="X913" s="26"/>
    </row>
    <row r="914" ht="15.75" customHeight="1">
      <c r="B914" s="18"/>
      <c r="C914" s="36"/>
      <c r="D914" s="39"/>
      <c r="E914" s="40"/>
      <c r="F914" s="41"/>
      <c r="G914" s="42"/>
      <c r="H914" s="42"/>
      <c r="I914" s="25"/>
      <c r="K914" s="27"/>
      <c r="U914" s="26"/>
      <c r="X914" s="26"/>
    </row>
    <row r="915" ht="15.75" customHeight="1">
      <c r="B915" s="18"/>
      <c r="C915" s="36"/>
      <c r="D915" s="39"/>
      <c r="E915" s="40"/>
      <c r="F915" s="41"/>
      <c r="G915" s="42"/>
      <c r="H915" s="42"/>
      <c r="I915" s="25"/>
      <c r="K915" s="27"/>
      <c r="U915" s="26"/>
      <c r="X915" s="26"/>
    </row>
    <row r="916" ht="15.75" customHeight="1">
      <c r="B916" s="18"/>
      <c r="C916" s="36"/>
      <c r="D916" s="39"/>
      <c r="E916" s="40"/>
      <c r="F916" s="41"/>
      <c r="G916" s="42"/>
      <c r="H916" s="42"/>
      <c r="I916" s="25"/>
      <c r="K916" s="27"/>
      <c r="U916" s="26"/>
      <c r="X916" s="26"/>
    </row>
    <row r="917" ht="15.75" customHeight="1">
      <c r="B917" s="18"/>
      <c r="C917" s="36"/>
      <c r="D917" s="39"/>
      <c r="E917" s="40"/>
      <c r="F917" s="41"/>
      <c r="G917" s="42"/>
      <c r="H917" s="42"/>
      <c r="I917" s="25"/>
      <c r="K917" s="27"/>
      <c r="U917" s="26"/>
      <c r="X917" s="26"/>
    </row>
    <row r="918" ht="15.75" customHeight="1">
      <c r="B918" s="18"/>
      <c r="C918" s="36"/>
      <c r="D918" s="39"/>
      <c r="E918" s="40"/>
      <c r="F918" s="41"/>
      <c r="G918" s="42"/>
      <c r="H918" s="42"/>
      <c r="I918" s="25"/>
      <c r="K918" s="27"/>
      <c r="U918" s="26"/>
      <c r="X918" s="26"/>
    </row>
    <row r="919" ht="15.75" customHeight="1">
      <c r="B919" s="18"/>
      <c r="C919" s="36"/>
      <c r="D919" s="39"/>
      <c r="E919" s="40"/>
      <c r="F919" s="41"/>
      <c r="G919" s="42"/>
      <c r="H919" s="42"/>
      <c r="I919" s="25"/>
      <c r="K919" s="27"/>
      <c r="U919" s="26"/>
      <c r="X919" s="26"/>
    </row>
    <row r="920" ht="15.75" customHeight="1">
      <c r="B920" s="18"/>
      <c r="C920" s="36"/>
      <c r="D920" s="39"/>
      <c r="E920" s="40"/>
      <c r="F920" s="41"/>
      <c r="G920" s="42"/>
      <c r="H920" s="42"/>
      <c r="I920" s="25"/>
      <c r="K920" s="27"/>
      <c r="U920" s="26"/>
      <c r="X920" s="26"/>
    </row>
    <row r="921" ht="15.75" customHeight="1">
      <c r="B921" s="18"/>
      <c r="C921" s="36"/>
      <c r="D921" s="39"/>
      <c r="E921" s="40"/>
      <c r="F921" s="41"/>
      <c r="G921" s="42"/>
      <c r="H921" s="42"/>
      <c r="I921" s="25"/>
      <c r="K921" s="27"/>
      <c r="U921" s="26"/>
      <c r="X921" s="26"/>
    </row>
    <row r="922" ht="15.75" customHeight="1">
      <c r="B922" s="18"/>
      <c r="C922" s="36"/>
      <c r="D922" s="39"/>
      <c r="E922" s="40"/>
      <c r="F922" s="41"/>
      <c r="G922" s="42"/>
      <c r="H922" s="42"/>
      <c r="I922" s="25"/>
      <c r="K922" s="27"/>
      <c r="U922" s="26"/>
      <c r="X922" s="26"/>
    </row>
    <row r="923" ht="15.75" customHeight="1">
      <c r="B923" s="18"/>
      <c r="C923" s="36"/>
      <c r="D923" s="39"/>
      <c r="E923" s="40"/>
      <c r="F923" s="41"/>
      <c r="G923" s="42"/>
      <c r="H923" s="42"/>
      <c r="I923" s="25"/>
      <c r="K923" s="27"/>
      <c r="U923" s="26"/>
      <c r="X923" s="26"/>
    </row>
    <row r="924" ht="15.75" customHeight="1">
      <c r="B924" s="18"/>
      <c r="C924" s="36"/>
      <c r="D924" s="39"/>
      <c r="E924" s="40"/>
      <c r="F924" s="41"/>
      <c r="G924" s="42"/>
      <c r="H924" s="42"/>
      <c r="I924" s="25"/>
      <c r="K924" s="27"/>
      <c r="U924" s="26"/>
      <c r="X924" s="26"/>
    </row>
    <row r="925" ht="15.75" customHeight="1">
      <c r="B925" s="18"/>
      <c r="C925" s="36"/>
      <c r="D925" s="39"/>
      <c r="E925" s="40"/>
      <c r="F925" s="41"/>
      <c r="G925" s="42"/>
      <c r="H925" s="42"/>
      <c r="I925" s="25"/>
      <c r="K925" s="27"/>
      <c r="U925" s="26"/>
      <c r="X925" s="26"/>
    </row>
    <row r="926" ht="15.75" customHeight="1">
      <c r="B926" s="18"/>
      <c r="C926" s="36"/>
      <c r="D926" s="39"/>
      <c r="E926" s="40"/>
      <c r="F926" s="41"/>
      <c r="G926" s="42"/>
      <c r="H926" s="42"/>
      <c r="I926" s="25"/>
      <c r="K926" s="27"/>
      <c r="U926" s="26"/>
      <c r="X926" s="26"/>
    </row>
    <row r="927" ht="15.75" customHeight="1">
      <c r="B927" s="18"/>
      <c r="C927" s="36"/>
      <c r="D927" s="39"/>
      <c r="E927" s="40"/>
      <c r="F927" s="41"/>
      <c r="G927" s="42"/>
      <c r="H927" s="42"/>
      <c r="I927" s="25"/>
      <c r="K927" s="27"/>
      <c r="U927" s="26"/>
      <c r="X927" s="26"/>
    </row>
    <row r="928" ht="15.75" customHeight="1">
      <c r="B928" s="18"/>
      <c r="C928" s="36"/>
      <c r="D928" s="39"/>
      <c r="E928" s="40"/>
      <c r="F928" s="41"/>
      <c r="G928" s="42"/>
      <c r="H928" s="42"/>
      <c r="I928" s="25"/>
      <c r="K928" s="27"/>
      <c r="U928" s="26"/>
      <c r="X928" s="26"/>
    </row>
    <row r="929" ht="15.75" customHeight="1">
      <c r="B929" s="18"/>
      <c r="C929" s="36"/>
      <c r="D929" s="39"/>
      <c r="E929" s="40"/>
      <c r="F929" s="41"/>
      <c r="G929" s="42"/>
      <c r="H929" s="42"/>
      <c r="I929" s="25"/>
      <c r="K929" s="27"/>
      <c r="U929" s="26"/>
      <c r="X929" s="26"/>
    </row>
    <row r="930" ht="15.75" customHeight="1">
      <c r="B930" s="18"/>
      <c r="C930" s="36"/>
      <c r="D930" s="39"/>
      <c r="E930" s="40"/>
      <c r="F930" s="41"/>
      <c r="G930" s="42"/>
      <c r="H930" s="42"/>
      <c r="I930" s="25"/>
      <c r="K930" s="27"/>
      <c r="U930" s="26"/>
      <c r="X930" s="26"/>
    </row>
    <row r="931" ht="15.75" customHeight="1">
      <c r="B931" s="18"/>
      <c r="C931" s="36"/>
      <c r="D931" s="39"/>
      <c r="E931" s="40"/>
      <c r="F931" s="41"/>
      <c r="G931" s="42"/>
      <c r="H931" s="42"/>
      <c r="I931" s="25"/>
      <c r="K931" s="27"/>
      <c r="U931" s="26"/>
      <c r="X931" s="26"/>
    </row>
    <row r="932" ht="15.75" customHeight="1">
      <c r="B932" s="18"/>
      <c r="C932" s="36"/>
      <c r="D932" s="39"/>
      <c r="E932" s="40"/>
      <c r="F932" s="41"/>
      <c r="G932" s="42"/>
      <c r="H932" s="42"/>
      <c r="I932" s="25"/>
      <c r="K932" s="27"/>
      <c r="U932" s="26"/>
      <c r="X932" s="26"/>
    </row>
    <row r="933" ht="15.75" customHeight="1">
      <c r="B933" s="18"/>
      <c r="C933" s="36"/>
      <c r="D933" s="39"/>
      <c r="E933" s="40"/>
      <c r="F933" s="41"/>
      <c r="G933" s="42"/>
      <c r="H933" s="42"/>
      <c r="I933" s="25"/>
      <c r="K933" s="27"/>
      <c r="U933" s="26"/>
      <c r="X933" s="26"/>
    </row>
    <row r="934" ht="15.75" customHeight="1">
      <c r="B934" s="18"/>
      <c r="C934" s="36"/>
      <c r="D934" s="39"/>
      <c r="E934" s="40"/>
      <c r="F934" s="41"/>
      <c r="G934" s="42"/>
      <c r="H934" s="42"/>
      <c r="I934" s="25"/>
      <c r="K934" s="27"/>
      <c r="U934" s="26"/>
      <c r="X934" s="26"/>
    </row>
    <row r="935" ht="15.75" customHeight="1">
      <c r="B935" s="18"/>
      <c r="C935" s="36"/>
      <c r="D935" s="39"/>
      <c r="E935" s="40"/>
      <c r="F935" s="41"/>
      <c r="G935" s="42"/>
      <c r="H935" s="42"/>
      <c r="I935" s="25"/>
      <c r="K935" s="27"/>
      <c r="U935" s="26"/>
      <c r="X935" s="26"/>
    </row>
    <row r="936" ht="15.75" customHeight="1">
      <c r="B936" s="18"/>
      <c r="C936" s="36"/>
      <c r="D936" s="39"/>
      <c r="E936" s="40"/>
      <c r="F936" s="41"/>
      <c r="G936" s="42"/>
      <c r="H936" s="42"/>
      <c r="I936" s="25"/>
      <c r="K936" s="27"/>
      <c r="U936" s="26"/>
      <c r="X936" s="26"/>
    </row>
    <row r="937" ht="15.75" customHeight="1">
      <c r="B937" s="18"/>
      <c r="C937" s="36"/>
      <c r="D937" s="39"/>
      <c r="E937" s="40"/>
      <c r="F937" s="41"/>
      <c r="G937" s="42"/>
      <c r="H937" s="42"/>
      <c r="I937" s="25"/>
      <c r="K937" s="27"/>
      <c r="U937" s="26"/>
      <c r="X937" s="26"/>
    </row>
    <row r="938" ht="15.75" customHeight="1">
      <c r="B938" s="18"/>
      <c r="C938" s="36"/>
      <c r="D938" s="39"/>
      <c r="E938" s="40"/>
      <c r="F938" s="41"/>
      <c r="G938" s="42"/>
      <c r="H938" s="42"/>
      <c r="I938" s="25"/>
      <c r="K938" s="27"/>
      <c r="U938" s="26"/>
      <c r="X938" s="26"/>
    </row>
    <row r="939" ht="15.75" customHeight="1">
      <c r="B939" s="18"/>
      <c r="C939" s="36"/>
      <c r="D939" s="39"/>
      <c r="E939" s="40"/>
      <c r="F939" s="41"/>
      <c r="G939" s="42"/>
      <c r="H939" s="42"/>
      <c r="I939" s="25"/>
      <c r="K939" s="27"/>
      <c r="U939" s="26"/>
      <c r="X939" s="26"/>
    </row>
    <row r="940" ht="15.75" customHeight="1">
      <c r="B940" s="18"/>
      <c r="C940" s="36"/>
      <c r="D940" s="39"/>
      <c r="E940" s="40"/>
      <c r="F940" s="41"/>
      <c r="G940" s="42"/>
      <c r="H940" s="42"/>
      <c r="I940" s="25"/>
      <c r="K940" s="27"/>
      <c r="U940" s="26"/>
      <c r="X940" s="26"/>
    </row>
    <row r="941" ht="15.75" customHeight="1">
      <c r="B941" s="18"/>
      <c r="C941" s="36"/>
      <c r="D941" s="39"/>
      <c r="E941" s="40"/>
      <c r="F941" s="41"/>
      <c r="G941" s="42"/>
      <c r="H941" s="42"/>
      <c r="I941" s="25"/>
      <c r="K941" s="27"/>
      <c r="U941" s="26"/>
      <c r="X941" s="26"/>
    </row>
    <row r="942" ht="15.75" customHeight="1">
      <c r="B942" s="18"/>
      <c r="C942" s="36"/>
      <c r="D942" s="39"/>
      <c r="E942" s="40"/>
      <c r="F942" s="41"/>
      <c r="G942" s="42"/>
      <c r="H942" s="42"/>
      <c r="I942" s="25"/>
      <c r="K942" s="27"/>
      <c r="U942" s="26"/>
      <c r="X942" s="26"/>
    </row>
    <row r="943" ht="15.75" customHeight="1">
      <c r="B943" s="18"/>
      <c r="C943" s="36"/>
      <c r="D943" s="39"/>
      <c r="E943" s="40"/>
      <c r="F943" s="41"/>
      <c r="G943" s="42"/>
      <c r="H943" s="42"/>
      <c r="I943" s="25"/>
      <c r="K943" s="27"/>
      <c r="U943" s="26"/>
      <c r="X943" s="26"/>
    </row>
    <row r="944" ht="15.75" customHeight="1">
      <c r="B944" s="18"/>
      <c r="C944" s="36"/>
      <c r="D944" s="39"/>
      <c r="E944" s="40"/>
      <c r="F944" s="41"/>
      <c r="G944" s="42"/>
      <c r="H944" s="42"/>
      <c r="I944" s="25"/>
      <c r="K944" s="27"/>
      <c r="U944" s="26"/>
      <c r="X944" s="26"/>
    </row>
    <row r="945" ht="15.75" customHeight="1">
      <c r="B945" s="18"/>
      <c r="C945" s="36"/>
      <c r="D945" s="39"/>
      <c r="E945" s="40"/>
      <c r="F945" s="41"/>
      <c r="G945" s="42"/>
      <c r="H945" s="42"/>
      <c r="I945" s="25"/>
      <c r="K945" s="27"/>
      <c r="U945" s="26"/>
      <c r="X945" s="26"/>
    </row>
    <row r="946" ht="15.75" customHeight="1">
      <c r="B946" s="18"/>
      <c r="C946" s="36"/>
      <c r="D946" s="39"/>
      <c r="E946" s="40"/>
      <c r="F946" s="41"/>
      <c r="G946" s="42"/>
      <c r="H946" s="42"/>
      <c r="I946" s="25"/>
      <c r="K946" s="27"/>
      <c r="U946" s="26"/>
      <c r="X946" s="26"/>
    </row>
    <row r="947" ht="15.75" customHeight="1">
      <c r="B947" s="18"/>
      <c r="C947" s="36"/>
      <c r="D947" s="39"/>
      <c r="E947" s="40"/>
      <c r="F947" s="41"/>
      <c r="G947" s="42"/>
      <c r="H947" s="42"/>
      <c r="I947" s="25"/>
      <c r="K947" s="27"/>
      <c r="U947" s="26"/>
      <c r="X947" s="26"/>
    </row>
    <row r="948" ht="15.75" customHeight="1">
      <c r="B948" s="18"/>
      <c r="C948" s="36"/>
      <c r="D948" s="39"/>
      <c r="E948" s="40"/>
      <c r="F948" s="41"/>
      <c r="G948" s="42"/>
      <c r="H948" s="42"/>
      <c r="I948" s="25"/>
      <c r="K948" s="27"/>
      <c r="U948" s="26"/>
      <c r="X948" s="26"/>
    </row>
    <row r="949" ht="15.75" customHeight="1">
      <c r="B949" s="18"/>
      <c r="C949" s="36"/>
      <c r="D949" s="39"/>
      <c r="E949" s="40"/>
      <c r="F949" s="41"/>
      <c r="G949" s="42"/>
      <c r="H949" s="42"/>
      <c r="I949" s="25"/>
      <c r="K949" s="27"/>
      <c r="U949" s="26"/>
      <c r="X949" s="26"/>
    </row>
    <row r="950" ht="15.75" customHeight="1">
      <c r="B950" s="18"/>
      <c r="C950" s="36"/>
      <c r="D950" s="39"/>
      <c r="E950" s="40"/>
      <c r="F950" s="41"/>
      <c r="G950" s="42"/>
      <c r="H950" s="42"/>
      <c r="I950" s="25"/>
      <c r="K950" s="27"/>
      <c r="U950" s="26"/>
      <c r="X950" s="26"/>
    </row>
    <row r="951" ht="15.75" customHeight="1">
      <c r="B951" s="18"/>
      <c r="C951" s="36"/>
      <c r="D951" s="39"/>
      <c r="E951" s="40"/>
      <c r="F951" s="41"/>
      <c r="G951" s="42"/>
      <c r="H951" s="42"/>
      <c r="I951" s="25"/>
      <c r="K951" s="27"/>
      <c r="U951" s="26"/>
      <c r="X951" s="26"/>
    </row>
    <row r="952" ht="15.75" customHeight="1">
      <c r="B952" s="18"/>
      <c r="C952" s="36"/>
      <c r="D952" s="39"/>
      <c r="E952" s="40"/>
      <c r="F952" s="41"/>
      <c r="G952" s="42"/>
      <c r="H952" s="42"/>
      <c r="I952" s="25"/>
      <c r="K952" s="27"/>
      <c r="U952" s="26"/>
      <c r="X952" s="26"/>
    </row>
    <row r="953" ht="15.75" customHeight="1">
      <c r="B953" s="18"/>
      <c r="C953" s="36"/>
      <c r="D953" s="39"/>
      <c r="E953" s="40"/>
      <c r="F953" s="41"/>
      <c r="G953" s="42"/>
      <c r="H953" s="42"/>
      <c r="I953" s="25"/>
      <c r="K953" s="27"/>
      <c r="U953" s="26"/>
      <c r="X953" s="26"/>
    </row>
    <row r="954" ht="15.75" customHeight="1">
      <c r="B954" s="18"/>
      <c r="C954" s="36"/>
      <c r="D954" s="39"/>
      <c r="E954" s="40"/>
      <c r="F954" s="41"/>
      <c r="G954" s="42"/>
      <c r="H954" s="42"/>
      <c r="I954" s="25"/>
      <c r="K954" s="27"/>
      <c r="U954" s="26"/>
      <c r="X954" s="26"/>
    </row>
    <row r="955" ht="15.75" customHeight="1">
      <c r="B955" s="18"/>
      <c r="C955" s="36"/>
      <c r="D955" s="39"/>
      <c r="E955" s="40"/>
      <c r="F955" s="41"/>
      <c r="G955" s="42"/>
      <c r="H955" s="42"/>
      <c r="I955" s="25"/>
      <c r="K955" s="27"/>
      <c r="U955" s="26"/>
      <c r="X955" s="26"/>
    </row>
    <row r="956" ht="15.75" customHeight="1">
      <c r="B956" s="18"/>
      <c r="C956" s="36"/>
      <c r="D956" s="39"/>
      <c r="E956" s="40"/>
      <c r="F956" s="41"/>
      <c r="G956" s="42"/>
      <c r="H956" s="42"/>
      <c r="I956" s="25"/>
      <c r="K956" s="27"/>
      <c r="U956" s="26"/>
      <c r="X956" s="26"/>
    </row>
    <row r="957" ht="15.75" customHeight="1">
      <c r="B957" s="18"/>
      <c r="C957" s="36"/>
      <c r="D957" s="39"/>
      <c r="E957" s="40"/>
      <c r="F957" s="41"/>
      <c r="G957" s="42"/>
      <c r="H957" s="42"/>
      <c r="I957" s="25"/>
      <c r="K957" s="27"/>
      <c r="U957" s="26"/>
      <c r="X957" s="26"/>
    </row>
    <row r="958" ht="15.75" customHeight="1">
      <c r="B958" s="18"/>
      <c r="C958" s="36"/>
      <c r="D958" s="39"/>
      <c r="E958" s="40"/>
      <c r="F958" s="41"/>
      <c r="G958" s="42"/>
      <c r="H958" s="42"/>
      <c r="I958" s="25"/>
      <c r="K958" s="27"/>
      <c r="U958" s="26"/>
      <c r="X958" s="26"/>
    </row>
    <row r="959" ht="15.75" customHeight="1">
      <c r="B959" s="18"/>
      <c r="C959" s="36"/>
      <c r="D959" s="39"/>
      <c r="E959" s="40"/>
      <c r="F959" s="41"/>
      <c r="G959" s="42"/>
      <c r="H959" s="42"/>
      <c r="I959" s="25"/>
      <c r="K959" s="27"/>
      <c r="U959" s="26"/>
      <c r="X959" s="26"/>
    </row>
    <row r="960" ht="15.75" customHeight="1">
      <c r="B960" s="18"/>
      <c r="C960" s="36"/>
      <c r="D960" s="39"/>
      <c r="E960" s="40"/>
      <c r="F960" s="41"/>
      <c r="G960" s="42"/>
      <c r="H960" s="42"/>
      <c r="I960" s="25"/>
      <c r="K960" s="27"/>
      <c r="U960" s="26"/>
      <c r="X960" s="26"/>
    </row>
    <row r="961" ht="15.75" customHeight="1">
      <c r="B961" s="18"/>
      <c r="C961" s="36"/>
      <c r="D961" s="39"/>
      <c r="E961" s="40"/>
      <c r="F961" s="41"/>
      <c r="G961" s="42"/>
      <c r="H961" s="42"/>
      <c r="I961" s="25"/>
      <c r="K961" s="27"/>
      <c r="U961" s="26"/>
      <c r="X961" s="26"/>
    </row>
    <row r="962" ht="15.75" customHeight="1">
      <c r="B962" s="18"/>
      <c r="C962" s="36"/>
      <c r="D962" s="39"/>
      <c r="E962" s="40"/>
      <c r="F962" s="41"/>
      <c r="G962" s="42"/>
      <c r="H962" s="42"/>
      <c r="I962" s="25"/>
      <c r="K962" s="27"/>
      <c r="U962" s="26"/>
      <c r="X962" s="26"/>
    </row>
    <row r="963" ht="15.75" customHeight="1">
      <c r="B963" s="18"/>
      <c r="C963" s="36"/>
      <c r="D963" s="39"/>
      <c r="E963" s="40"/>
      <c r="F963" s="41"/>
      <c r="G963" s="42"/>
      <c r="H963" s="42"/>
      <c r="I963" s="25"/>
      <c r="K963" s="27"/>
      <c r="U963" s="26"/>
      <c r="X963" s="26"/>
    </row>
    <row r="964" ht="15.75" customHeight="1">
      <c r="B964" s="18"/>
      <c r="C964" s="36"/>
      <c r="D964" s="39"/>
      <c r="E964" s="40"/>
      <c r="F964" s="41"/>
      <c r="G964" s="42"/>
      <c r="H964" s="42"/>
      <c r="I964" s="25"/>
      <c r="K964" s="27"/>
      <c r="U964" s="26"/>
      <c r="X964" s="26"/>
    </row>
    <row r="965" ht="15.75" customHeight="1">
      <c r="B965" s="18"/>
      <c r="C965" s="36"/>
      <c r="D965" s="39"/>
      <c r="E965" s="40"/>
      <c r="F965" s="41"/>
      <c r="G965" s="42"/>
      <c r="H965" s="42"/>
      <c r="I965" s="25"/>
      <c r="K965" s="27"/>
      <c r="U965" s="26"/>
      <c r="X965" s="26"/>
    </row>
    <row r="966" ht="15.75" customHeight="1">
      <c r="B966" s="18"/>
      <c r="C966" s="36"/>
      <c r="D966" s="39"/>
      <c r="E966" s="40"/>
      <c r="F966" s="41"/>
      <c r="G966" s="42"/>
      <c r="H966" s="42"/>
      <c r="I966" s="25"/>
      <c r="K966" s="27"/>
      <c r="U966" s="26"/>
      <c r="X966" s="26"/>
    </row>
    <row r="967" ht="15.75" customHeight="1">
      <c r="B967" s="18"/>
      <c r="C967" s="36"/>
      <c r="D967" s="39"/>
      <c r="E967" s="40"/>
      <c r="F967" s="41"/>
      <c r="G967" s="42"/>
      <c r="H967" s="42"/>
      <c r="I967" s="25"/>
      <c r="K967" s="27"/>
      <c r="U967" s="26"/>
      <c r="X967" s="26"/>
    </row>
    <row r="968" ht="15.75" customHeight="1">
      <c r="B968" s="18"/>
      <c r="C968" s="36"/>
      <c r="D968" s="39"/>
      <c r="E968" s="40"/>
      <c r="F968" s="41"/>
      <c r="G968" s="42"/>
      <c r="H968" s="42"/>
      <c r="I968" s="25"/>
      <c r="K968" s="27"/>
      <c r="U968" s="26"/>
      <c r="X968" s="26"/>
    </row>
    <row r="969" ht="15.75" customHeight="1">
      <c r="B969" s="18"/>
      <c r="C969" s="36"/>
      <c r="D969" s="39"/>
      <c r="E969" s="40"/>
      <c r="F969" s="41"/>
      <c r="G969" s="42"/>
      <c r="H969" s="42"/>
      <c r="I969" s="25"/>
      <c r="K969" s="27"/>
      <c r="U969" s="26"/>
      <c r="X969" s="26"/>
    </row>
    <row r="970" ht="15.75" customHeight="1">
      <c r="B970" s="18"/>
      <c r="C970" s="36"/>
      <c r="D970" s="39"/>
      <c r="E970" s="40"/>
      <c r="F970" s="41"/>
      <c r="G970" s="42"/>
      <c r="H970" s="42"/>
      <c r="I970" s="25"/>
      <c r="K970" s="27"/>
      <c r="U970" s="26"/>
      <c r="X970" s="26"/>
    </row>
    <row r="971" ht="15.75" customHeight="1">
      <c r="B971" s="18"/>
      <c r="C971" s="36"/>
      <c r="D971" s="39"/>
      <c r="E971" s="40"/>
      <c r="F971" s="41"/>
      <c r="G971" s="42"/>
      <c r="H971" s="42"/>
      <c r="I971" s="25"/>
      <c r="K971" s="27"/>
      <c r="U971" s="26"/>
      <c r="X971" s="26"/>
    </row>
    <row r="972" ht="15.75" customHeight="1">
      <c r="B972" s="18"/>
      <c r="C972" s="36"/>
      <c r="D972" s="39"/>
      <c r="E972" s="40"/>
      <c r="F972" s="41"/>
      <c r="G972" s="42"/>
      <c r="H972" s="42"/>
      <c r="I972" s="25"/>
      <c r="K972" s="27"/>
      <c r="U972" s="26"/>
      <c r="X972" s="26"/>
    </row>
    <row r="973" ht="15.75" customHeight="1">
      <c r="B973" s="18"/>
      <c r="C973" s="36"/>
      <c r="D973" s="39"/>
      <c r="E973" s="40"/>
      <c r="F973" s="41"/>
      <c r="G973" s="42"/>
      <c r="H973" s="42"/>
      <c r="I973" s="25"/>
      <c r="K973" s="27"/>
      <c r="U973" s="26"/>
      <c r="X973" s="26"/>
    </row>
    <row r="974" ht="15.75" customHeight="1">
      <c r="B974" s="18"/>
      <c r="C974" s="36"/>
      <c r="D974" s="39"/>
      <c r="E974" s="40"/>
      <c r="F974" s="41"/>
      <c r="G974" s="42"/>
      <c r="H974" s="42"/>
      <c r="I974" s="25"/>
      <c r="K974" s="27"/>
      <c r="U974" s="26"/>
      <c r="X974" s="26"/>
    </row>
    <row r="975" ht="15.75" customHeight="1">
      <c r="B975" s="18"/>
      <c r="C975" s="36"/>
      <c r="D975" s="39"/>
      <c r="E975" s="40"/>
      <c r="F975" s="41"/>
      <c r="G975" s="42"/>
      <c r="H975" s="42"/>
      <c r="I975" s="25"/>
      <c r="K975" s="27"/>
      <c r="U975" s="26"/>
      <c r="X975" s="26"/>
    </row>
    <row r="976" ht="15.75" customHeight="1">
      <c r="B976" s="18"/>
      <c r="C976" s="36"/>
      <c r="D976" s="39"/>
      <c r="E976" s="40"/>
      <c r="F976" s="41"/>
      <c r="G976" s="42"/>
      <c r="H976" s="42"/>
      <c r="I976" s="25"/>
      <c r="K976" s="27"/>
      <c r="U976" s="26"/>
      <c r="X976" s="26"/>
    </row>
    <row r="977" ht="15.75" customHeight="1">
      <c r="B977" s="18"/>
      <c r="C977" s="36"/>
      <c r="D977" s="39"/>
      <c r="E977" s="40"/>
      <c r="F977" s="41"/>
      <c r="G977" s="42"/>
      <c r="H977" s="42"/>
      <c r="I977" s="25"/>
      <c r="K977" s="27"/>
      <c r="U977" s="26"/>
      <c r="X977" s="26"/>
    </row>
    <row r="978" ht="15.75" customHeight="1">
      <c r="B978" s="18"/>
      <c r="C978" s="36"/>
      <c r="D978" s="39"/>
      <c r="E978" s="40"/>
      <c r="F978" s="41"/>
      <c r="G978" s="42"/>
      <c r="H978" s="42"/>
      <c r="I978" s="25"/>
      <c r="K978" s="27"/>
      <c r="U978" s="26"/>
      <c r="X978" s="26"/>
    </row>
    <row r="979" ht="15.75" customHeight="1">
      <c r="B979" s="18"/>
      <c r="C979" s="36"/>
      <c r="D979" s="39"/>
      <c r="E979" s="40"/>
      <c r="F979" s="41"/>
      <c r="G979" s="42"/>
      <c r="H979" s="42"/>
      <c r="I979" s="25"/>
      <c r="K979" s="27"/>
      <c r="U979" s="26"/>
      <c r="X979" s="26"/>
    </row>
    <row r="980" ht="15.75" customHeight="1">
      <c r="B980" s="18"/>
      <c r="C980" s="36"/>
      <c r="D980" s="39"/>
      <c r="E980" s="40"/>
      <c r="F980" s="41"/>
      <c r="G980" s="42"/>
      <c r="H980" s="42"/>
      <c r="I980" s="25"/>
      <c r="K980" s="27"/>
      <c r="U980" s="26"/>
      <c r="X980" s="26"/>
    </row>
    <row r="981" ht="15.75" customHeight="1">
      <c r="B981" s="18"/>
      <c r="C981" s="36"/>
      <c r="D981" s="39"/>
      <c r="E981" s="40"/>
      <c r="F981" s="41"/>
      <c r="G981" s="42"/>
      <c r="H981" s="42"/>
      <c r="I981" s="25"/>
      <c r="K981" s="27"/>
      <c r="U981" s="26"/>
      <c r="X981" s="26"/>
    </row>
    <row r="982" ht="15.75" customHeight="1">
      <c r="B982" s="18"/>
      <c r="C982" s="36"/>
      <c r="D982" s="39"/>
      <c r="E982" s="40"/>
      <c r="F982" s="41"/>
      <c r="G982" s="42"/>
      <c r="H982" s="42"/>
      <c r="I982" s="25"/>
      <c r="K982" s="27"/>
      <c r="U982" s="26"/>
      <c r="X982" s="26"/>
    </row>
    <row r="983" ht="15.75" customHeight="1">
      <c r="B983" s="18"/>
      <c r="C983" s="36"/>
      <c r="D983" s="39"/>
      <c r="E983" s="40"/>
      <c r="F983" s="41"/>
      <c r="G983" s="42"/>
      <c r="H983" s="42"/>
      <c r="I983" s="25"/>
      <c r="K983" s="27"/>
      <c r="U983" s="26"/>
      <c r="X983" s="26"/>
    </row>
    <row r="984" ht="15.75" customHeight="1">
      <c r="B984" s="18"/>
      <c r="C984" s="36"/>
      <c r="D984" s="39"/>
      <c r="E984" s="40"/>
      <c r="F984" s="41"/>
      <c r="G984" s="42"/>
      <c r="H984" s="42"/>
      <c r="I984" s="25"/>
      <c r="K984" s="27"/>
      <c r="U984" s="26"/>
      <c r="X984" s="26"/>
    </row>
    <row r="985" ht="15.75" customHeight="1">
      <c r="B985" s="18"/>
      <c r="C985" s="36"/>
      <c r="D985" s="39"/>
      <c r="E985" s="40"/>
      <c r="F985" s="41"/>
      <c r="G985" s="42"/>
      <c r="H985" s="42"/>
      <c r="I985" s="25"/>
      <c r="K985" s="27"/>
      <c r="U985" s="26"/>
      <c r="X985" s="26"/>
    </row>
    <row r="986" ht="15.75" customHeight="1">
      <c r="B986" s="18"/>
      <c r="C986" s="36"/>
      <c r="D986" s="39"/>
      <c r="E986" s="40"/>
      <c r="F986" s="41"/>
      <c r="G986" s="42"/>
      <c r="H986" s="42"/>
      <c r="I986" s="25"/>
      <c r="K986" s="27"/>
      <c r="U986" s="26"/>
      <c r="X986" s="26"/>
    </row>
    <row r="987" ht="15.75" customHeight="1">
      <c r="B987" s="18"/>
      <c r="C987" s="36"/>
      <c r="D987" s="39"/>
      <c r="E987" s="40"/>
      <c r="F987" s="41"/>
      <c r="G987" s="42"/>
      <c r="H987" s="42"/>
      <c r="I987" s="25"/>
      <c r="K987" s="27"/>
      <c r="U987" s="26"/>
      <c r="X987" s="26"/>
    </row>
    <row r="988" ht="15.75" customHeight="1">
      <c r="B988" s="18"/>
      <c r="C988" s="36"/>
      <c r="D988" s="39"/>
      <c r="E988" s="40"/>
      <c r="F988" s="41"/>
      <c r="G988" s="42"/>
      <c r="H988" s="42"/>
      <c r="I988" s="25"/>
      <c r="K988" s="27"/>
      <c r="U988" s="26"/>
      <c r="X988" s="26"/>
    </row>
    <row r="989" ht="15.75" customHeight="1">
      <c r="B989" s="18"/>
      <c r="C989" s="36"/>
      <c r="D989" s="39"/>
      <c r="E989" s="40"/>
      <c r="F989" s="41"/>
      <c r="G989" s="42"/>
      <c r="H989" s="42"/>
      <c r="I989" s="25"/>
      <c r="K989" s="27"/>
      <c r="U989" s="26"/>
      <c r="X989" s="26"/>
    </row>
    <row r="990" ht="15.75" customHeight="1">
      <c r="B990" s="18"/>
      <c r="C990" s="36"/>
      <c r="D990" s="39"/>
      <c r="E990" s="40"/>
      <c r="F990" s="41"/>
      <c r="G990" s="42"/>
      <c r="H990" s="42"/>
      <c r="I990" s="25"/>
      <c r="K990" s="27"/>
      <c r="U990" s="26"/>
      <c r="X990" s="26"/>
    </row>
    <row r="991" ht="15.75" customHeight="1">
      <c r="B991" s="18"/>
      <c r="C991" s="36"/>
      <c r="D991" s="39"/>
      <c r="E991" s="40"/>
      <c r="F991" s="41"/>
      <c r="G991" s="42"/>
      <c r="H991" s="42"/>
      <c r="I991" s="25"/>
      <c r="K991" s="27"/>
      <c r="U991" s="26"/>
      <c r="X991" s="26"/>
    </row>
    <row r="992" ht="15.75" customHeight="1">
      <c r="B992" s="18"/>
      <c r="C992" s="36"/>
      <c r="D992" s="39"/>
      <c r="E992" s="40"/>
      <c r="F992" s="41"/>
      <c r="G992" s="42"/>
      <c r="H992" s="42"/>
      <c r="I992" s="25"/>
      <c r="K992" s="27"/>
      <c r="U992" s="26"/>
      <c r="X992" s="26"/>
    </row>
    <row r="993" ht="15.75" customHeight="1">
      <c r="B993" s="18"/>
      <c r="C993" s="36"/>
      <c r="D993" s="39"/>
      <c r="E993" s="40"/>
      <c r="F993" s="41"/>
      <c r="G993" s="42"/>
      <c r="H993" s="42"/>
      <c r="I993" s="25"/>
      <c r="K993" s="27"/>
      <c r="U993" s="26"/>
      <c r="X993" s="26"/>
    </row>
    <row r="994" ht="15.75" customHeight="1">
      <c r="B994" s="18"/>
      <c r="C994" s="36"/>
      <c r="D994" s="66"/>
      <c r="E994" s="40"/>
      <c r="F994" s="41"/>
      <c r="G994" s="42"/>
      <c r="H994" s="42"/>
      <c r="I994" s="67"/>
      <c r="J994" s="68"/>
      <c r="K994" s="69"/>
      <c r="U994" s="26"/>
      <c r="X994" s="26"/>
    </row>
  </sheetData>
  <mergeCells count="1">
    <mergeCell ref="P25:Q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70" t="s">
        <v>1511</v>
      </c>
      <c r="B1" s="71" t="s">
        <v>1512</v>
      </c>
      <c r="C1" s="72" t="s">
        <v>1513</v>
      </c>
      <c r="D1" s="73" t="s">
        <v>1514</v>
      </c>
    </row>
    <row r="2">
      <c r="A2" s="74" t="s">
        <v>1515</v>
      </c>
      <c r="B2" s="75" t="s">
        <v>1516</v>
      </c>
      <c r="C2" s="76" t="s">
        <v>1517</v>
      </c>
      <c r="D2" s="77" t="s">
        <v>1518</v>
      </c>
    </row>
    <row r="3">
      <c r="A3" s="74" t="s">
        <v>1515</v>
      </c>
      <c r="B3" s="75" t="s">
        <v>1516</v>
      </c>
      <c r="C3" s="76" t="s">
        <v>1517</v>
      </c>
      <c r="D3" s="77" t="s">
        <v>1519</v>
      </c>
    </row>
    <row r="4">
      <c r="A4" s="74" t="s">
        <v>1515</v>
      </c>
      <c r="B4" s="75" t="s">
        <v>1516</v>
      </c>
      <c r="C4" s="76" t="s">
        <v>1517</v>
      </c>
      <c r="D4" s="77" t="s">
        <v>1520</v>
      </c>
    </row>
    <row r="5">
      <c r="A5" s="74" t="s">
        <v>1515</v>
      </c>
      <c r="B5" s="75" t="s">
        <v>1516</v>
      </c>
      <c r="C5" s="76" t="s">
        <v>1517</v>
      </c>
      <c r="D5" s="77" t="s">
        <v>1521</v>
      </c>
    </row>
    <row r="6">
      <c r="A6" s="74" t="s">
        <v>1515</v>
      </c>
      <c r="B6" s="75" t="s">
        <v>1516</v>
      </c>
      <c r="C6" s="76" t="s">
        <v>1517</v>
      </c>
      <c r="D6" s="77" t="s">
        <v>1522</v>
      </c>
    </row>
    <row r="7">
      <c r="A7" s="74" t="s">
        <v>1515</v>
      </c>
      <c r="B7" s="75" t="s">
        <v>1516</v>
      </c>
      <c r="C7" s="76" t="s">
        <v>1517</v>
      </c>
      <c r="D7" s="77" t="s">
        <v>1523</v>
      </c>
    </row>
    <row r="8">
      <c r="A8" s="74" t="s">
        <v>1515</v>
      </c>
      <c r="B8" s="75" t="s">
        <v>1516</v>
      </c>
      <c r="C8" s="76" t="s">
        <v>1517</v>
      </c>
      <c r="D8" s="77" t="s">
        <v>1524</v>
      </c>
    </row>
    <row r="9">
      <c r="A9" s="74" t="s">
        <v>1515</v>
      </c>
      <c r="B9" s="75" t="s">
        <v>1516</v>
      </c>
      <c r="C9" s="76" t="s">
        <v>1517</v>
      </c>
      <c r="D9" s="77" t="s">
        <v>1525</v>
      </c>
    </row>
    <row r="10">
      <c r="A10" s="74" t="s">
        <v>1515</v>
      </c>
      <c r="B10" s="75" t="s">
        <v>1516</v>
      </c>
      <c r="C10" s="76" t="s">
        <v>1517</v>
      </c>
      <c r="D10" s="77" t="s">
        <v>1526</v>
      </c>
    </row>
    <row r="11">
      <c r="A11" s="74" t="s">
        <v>1515</v>
      </c>
      <c r="B11" s="75" t="s">
        <v>1516</v>
      </c>
      <c r="C11" s="76" t="s">
        <v>1517</v>
      </c>
      <c r="D11" s="77" t="s">
        <v>1527</v>
      </c>
    </row>
    <row r="12">
      <c r="A12" s="74" t="s">
        <v>1515</v>
      </c>
      <c r="B12" s="75" t="s">
        <v>1516</v>
      </c>
      <c r="C12" s="76" t="s">
        <v>1517</v>
      </c>
      <c r="D12" s="77" t="s">
        <v>1528</v>
      </c>
    </row>
    <row r="13">
      <c r="A13" s="74" t="s">
        <v>1515</v>
      </c>
      <c r="B13" s="75" t="s">
        <v>1516</v>
      </c>
      <c r="C13" s="76" t="s">
        <v>1517</v>
      </c>
      <c r="D13" s="77" t="s">
        <v>1529</v>
      </c>
    </row>
    <row r="14">
      <c r="A14" s="74" t="s">
        <v>1515</v>
      </c>
      <c r="B14" s="75" t="s">
        <v>1516</v>
      </c>
      <c r="C14" s="76" t="s">
        <v>1517</v>
      </c>
      <c r="D14" s="77" t="s">
        <v>1530</v>
      </c>
    </row>
    <row r="15">
      <c r="A15" s="74" t="s">
        <v>1515</v>
      </c>
      <c r="B15" s="75" t="s">
        <v>1516</v>
      </c>
      <c r="C15" s="76" t="s">
        <v>1517</v>
      </c>
      <c r="D15" s="77" t="s">
        <v>1531</v>
      </c>
    </row>
    <row r="16">
      <c r="A16" s="74" t="s">
        <v>1515</v>
      </c>
      <c r="B16" s="75" t="s">
        <v>1532</v>
      </c>
      <c r="C16" s="76" t="s">
        <v>1517</v>
      </c>
      <c r="D16" s="77" t="s">
        <v>1533</v>
      </c>
    </row>
    <row r="17">
      <c r="A17" s="74" t="s">
        <v>1515</v>
      </c>
      <c r="B17" s="75" t="s">
        <v>1534</v>
      </c>
      <c r="C17" s="76" t="s">
        <v>1517</v>
      </c>
      <c r="D17" s="77" t="s">
        <v>1535</v>
      </c>
    </row>
    <row r="18">
      <c r="A18" s="74" t="s">
        <v>1515</v>
      </c>
      <c r="B18" s="75" t="s">
        <v>1536</v>
      </c>
      <c r="C18" s="76" t="s">
        <v>1517</v>
      </c>
      <c r="D18" s="77" t="s">
        <v>1537</v>
      </c>
    </row>
    <row r="19">
      <c r="A19" s="74" t="s">
        <v>1515</v>
      </c>
      <c r="B19" s="75" t="s">
        <v>1536</v>
      </c>
      <c r="C19" s="76" t="s">
        <v>1517</v>
      </c>
      <c r="D19" s="77" t="s">
        <v>1538</v>
      </c>
    </row>
    <row r="20">
      <c r="A20" s="74" t="s">
        <v>1515</v>
      </c>
      <c r="B20" s="75" t="s">
        <v>1534</v>
      </c>
      <c r="C20" s="76" t="s">
        <v>1517</v>
      </c>
      <c r="D20" s="77" t="s">
        <v>1539</v>
      </c>
    </row>
    <row r="21">
      <c r="A21" s="74" t="s">
        <v>1515</v>
      </c>
      <c r="B21" s="75" t="s">
        <v>1534</v>
      </c>
      <c r="C21" s="76" t="s">
        <v>1517</v>
      </c>
      <c r="D21" s="77" t="s">
        <v>1540</v>
      </c>
    </row>
    <row r="22">
      <c r="A22" s="74" t="s">
        <v>1515</v>
      </c>
      <c r="B22" s="75" t="s">
        <v>1534</v>
      </c>
      <c r="C22" s="76" t="s">
        <v>1517</v>
      </c>
      <c r="D22" s="77" t="s">
        <v>1541</v>
      </c>
    </row>
    <row r="23">
      <c r="A23" s="74" t="s">
        <v>1515</v>
      </c>
      <c r="B23" s="75" t="s">
        <v>1532</v>
      </c>
      <c r="C23" s="76" t="s">
        <v>1517</v>
      </c>
      <c r="D23" s="77" t="s">
        <v>1542</v>
      </c>
    </row>
    <row r="24">
      <c r="A24" s="74" t="s">
        <v>1515</v>
      </c>
      <c r="B24" s="75" t="s">
        <v>1543</v>
      </c>
      <c r="C24" s="76" t="s">
        <v>1517</v>
      </c>
      <c r="D24" s="77" t="s">
        <v>1544</v>
      </c>
    </row>
    <row r="25">
      <c r="A25" s="74" t="s">
        <v>1515</v>
      </c>
      <c r="B25" s="75" t="s">
        <v>1534</v>
      </c>
      <c r="C25" s="76" t="s">
        <v>1517</v>
      </c>
      <c r="D25" s="77" t="s">
        <v>1545</v>
      </c>
    </row>
    <row r="26">
      <c r="A26" s="74" t="s">
        <v>1515</v>
      </c>
      <c r="B26" s="75" t="s">
        <v>1534</v>
      </c>
      <c r="C26" s="76" t="s">
        <v>1517</v>
      </c>
      <c r="D26" s="77" t="s">
        <v>1546</v>
      </c>
    </row>
    <row r="27">
      <c r="A27" s="74" t="s">
        <v>1515</v>
      </c>
      <c r="B27" s="75" t="s">
        <v>1536</v>
      </c>
      <c r="C27" s="76" t="s">
        <v>1517</v>
      </c>
      <c r="D27" s="77" t="s">
        <v>1547</v>
      </c>
    </row>
    <row r="28">
      <c r="A28" s="74" t="s">
        <v>1515</v>
      </c>
      <c r="B28" s="75" t="s">
        <v>1536</v>
      </c>
      <c r="C28" s="76" t="s">
        <v>1517</v>
      </c>
      <c r="D28" s="77" t="s">
        <v>1548</v>
      </c>
    </row>
    <row r="29">
      <c r="A29" s="74" t="s">
        <v>1515</v>
      </c>
      <c r="B29" s="75" t="s">
        <v>1532</v>
      </c>
      <c r="C29" s="76" t="s">
        <v>1517</v>
      </c>
      <c r="D29" s="77" t="s">
        <v>1549</v>
      </c>
    </row>
    <row r="30">
      <c r="A30" s="74" t="s">
        <v>1515</v>
      </c>
      <c r="B30" s="75" t="s">
        <v>1543</v>
      </c>
      <c r="C30" s="76" t="s">
        <v>1517</v>
      </c>
      <c r="D30" s="77" t="s">
        <v>1550</v>
      </c>
    </row>
    <row r="31">
      <c r="A31" s="74" t="s">
        <v>1515</v>
      </c>
      <c r="B31" s="75" t="s">
        <v>1551</v>
      </c>
      <c r="C31" s="76" t="s">
        <v>1517</v>
      </c>
      <c r="D31" s="77" t="s">
        <v>1552</v>
      </c>
    </row>
    <row r="32">
      <c r="A32" s="74" t="s">
        <v>1515</v>
      </c>
      <c r="B32" s="75" t="s">
        <v>1532</v>
      </c>
      <c r="C32" s="76" t="s">
        <v>1517</v>
      </c>
      <c r="D32" s="77" t="s">
        <v>1553</v>
      </c>
    </row>
    <row r="33">
      <c r="A33" s="74" t="s">
        <v>1515</v>
      </c>
      <c r="B33" s="75" t="s">
        <v>1543</v>
      </c>
      <c r="C33" s="76" t="s">
        <v>1517</v>
      </c>
      <c r="D33" s="77" t="s">
        <v>1554</v>
      </c>
    </row>
    <row r="34">
      <c r="A34" s="74" t="s">
        <v>1515</v>
      </c>
      <c r="B34" s="75" t="s">
        <v>1536</v>
      </c>
      <c r="C34" s="76" t="s">
        <v>1517</v>
      </c>
      <c r="D34" s="77" t="s">
        <v>1555</v>
      </c>
    </row>
    <row r="35">
      <c r="A35" s="74" t="s">
        <v>1515</v>
      </c>
      <c r="B35" s="75" t="s">
        <v>1551</v>
      </c>
      <c r="C35" s="76" t="s">
        <v>1517</v>
      </c>
      <c r="D35" s="77" t="s">
        <v>1556</v>
      </c>
    </row>
    <row r="36">
      <c r="A36" s="74" t="s">
        <v>1515</v>
      </c>
      <c r="B36" s="75" t="s">
        <v>1534</v>
      </c>
      <c r="C36" s="76" t="s">
        <v>1517</v>
      </c>
      <c r="D36" s="77" t="s">
        <v>1557</v>
      </c>
    </row>
    <row r="37">
      <c r="A37" s="74" t="s">
        <v>1515</v>
      </c>
      <c r="B37" s="75" t="s">
        <v>1534</v>
      </c>
      <c r="C37" s="76" t="s">
        <v>1517</v>
      </c>
      <c r="D37" s="77" t="s">
        <v>1558</v>
      </c>
    </row>
    <row r="38">
      <c r="A38" s="74" t="s">
        <v>1515</v>
      </c>
      <c r="B38" s="75" t="s">
        <v>1534</v>
      </c>
      <c r="C38" s="76" t="s">
        <v>1517</v>
      </c>
      <c r="D38" s="77" t="s">
        <v>1559</v>
      </c>
    </row>
    <row r="39">
      <c r="A39" s="74" t="s">
        <v>1515</v>
      </c>
      <c r="B39" s="76" t="s">
        <v>1543</v>
      </c>
      <c r="C39" s="76" t="s">
        <v>1517</v>
      </c>
      <c r="D39" s="77" t="s">
        <v>1560</v>
      </c>
    </row>
    <row r="40">
      <c r="A40" s="74" t="s">
        <v>1515</v>
      </c>
      <c r="B40" s="76" t="s">
        <v>1532</v>
      </c>
      <c r="C40" s="76" t="s">
        <v>1517</v>
      </c>
      <c r="D40" s="77" t="s">
        <v>1561</v>
      </c>
    </row>
    <row r="41">
      <c r="A41" s="74" t="s">
        <v>1515</v>
      </c>
      <c r="B41" s="76" t="s">
        <v>1543</v>
      </c>
      <c r="C41" s="76" t="s">
        <v>1517</v>
      </c>
      <c r="D41" s="77" t="s">
        <v>1562</v>
      </c>
    </row>
    <row r="42">
      <c r="A42" s="74" t="s">
        <v>1515</v>
      </c>
      <c r="B42" s="76" t="s">
        <v>1532</v>
      </c>
      <c r="C42" s="76" t="s">
        <v>1517</v>
      </c>
      <c r="D42" s="77" t="s">
        <v>1563</v>
      </c>
    </row>
    <row r="43">
      <c r="A43" s="74" t="s">
        <v>1515</v>
      </c>
      <c r="B43" s="76" t="s">
        <v>1536</v>
      </c>
      <c r="C43" s="76" t="s">
        <v>1517</v>
      </c>
      <c r="D43" s="77" t="s">
        <v>1564</v>
      </c>
    </row>
    <row r="44">
      <c r="A44" s="74" t="s">
        <v>1515</v>
      </c>
      <c r="B44" s="76" t="s">
        <v>1532</v>
      </c>
      <c r="C44" s="76" t="s">
        <v>1517</v>
      </c>
      <c r="D44" s="77" t="s">
        <v>1565</v>
      </c>
    </row>
    <row r="45">
      <c r="A45" s="74" t="s">
        <v>1515</v>
      </c>
      <c r="B45" s="76" t="s">
        <v>1532</v>
      </c>
      <c r="C45" s="76" t="s">
        <v>1517</v>
      </c>
      <c r="D45" s="77" t="s">
        <v>1566</v>
      </c>
    </row>
    <row r="46">
      <c r="A46" s="74" t="s">
        <v>1515</v>
      </c>
      <c r="B46" s="76" t="s">
        <v>1534</v>
      </c>
      <c r="C46" s="76" t="s">
        <v>1517</v>
      </c>
      <c r="D46" s="77" t="s">
        <v>1567</v>
      </c>
    </row>
    <row r="47">
      <c r="A47" s="74" t="s">
        <v>1515</v>
      </c>
      <c r="B47" s="76" t="s">
        <v>1534</v>
      </c>
      <c r="C47" s="76" t="s">
        <v>1517</v>
      </c>
      <c r="D47" s="77" t="s">
        <v>1568</v>
      </c>
    </row>
    <row r="48">
      <c r="A48" s="74" t="s">
        <v>1515</v>
      </c>
      <c r="B48" s="76" t="s">
        <v>1536</v>
      </c>
      <c r="C48" s="76" t="s">
        <v>1517</v>
      </c>
      <c r="D48" s="77" t="s">
        <v>1569</v>
      </c>
    </row>
    <row r="49">
      <c r="A49" s="74" t="s">
        <v>1515</v>
      </c>
      <c r="B49" s="76" t="s">
        <v>1534</v>
      </c>
      <c r="C49" s="76" t="s">
        <v>1517</v>
      </c>
      <c r="D49" s="77" t="s">
        <v>1570</v>
      </c>
    </row>
    <row r="50">
      <c r="A50" s="74" t="s">
        <v>1515</v>
      </c>
      <c r="B50" s="76" t="s">
        <v>1543</v>
      </c>
      <c r="C50" s="76" t="s">
        <v>1517</v>
      </c>
      <c r="D50" s="77" t="s">
        <v>1571</v>
      </c>
    </row>
    <row r="51">
      <c r="A51" s="74" t="s">
        <v>1515</v>
      </c>
      <c r="B51" s="76" t="s">
        <v>1536</v>
      </c>
      <c r="C51" s="76" t="s">
        <v>1517</v>
      </c>
      <c r="D51" s="77" t="s">
        <v>1572</v>
      </c>
    </row>
    <row r="52">
      <c r="A52" s="74" t="s">
        <v>1515</v>
      </c>
      <c r="B52" s="76" t="s">
        <v>1536</v>
      </c>
      <c r="C52" s="76" t="s">
        <v>1517</v>
      </c>
      <c r="D52" s="77" t="s">
        <v>1573</v>
      </c>
    </row>
    <row r="53">
      <c r="A53" s="74" t="s">
        <v>1515</v>
      </c>
      <c r="B53" s="76" t="s">
        <v>1532</v>
      </c>
      <c r="C53" s="76" t="s">
        <v>1517</v>
      </c>
      <c r="D53" s="77" t="s">
        <v>1574</v>
      </c>
    </row>
    <row r="54">
      <c r="A54" s="74" t="s">
        <v>1515</v>
      </c>
      <c r="B54" s="76" t="s">
        <v>1551</v>
      </c>
      <c r="C54" s="76" t="s">
        <v>1517</v>
      </c>
      <c r="D54" s="77" t="s">
        <v>1575</v>
      </c>
    </row>
    <row r="55">
      <c r="A55" s="74" t="s">
        <v>1515</v>
      </c>
      <c r="B55" s="76" t="s">
        <v>1534</v>
      </c>
      <c r="C55" s="76" t="s">
        <v>1517</v>
      </c>
      <c r="D55" s="77" t="s">
        <v>1576</v>
      </c>
    </row>
    <row r="56">
      <c r="A56" s="74" t="s">
        <v>1515</v>
      </c>
      <c r="B56" s="76" t="s">
        <v>1534</v>
      </c>
      <c r="C56" s="76" t="s">
        <v>1517</v>
      </c>
      <c r="D56" s="77" t="s">
        <v>1577</v>
      </c>
    </row>
    <row r="57">
      <c r="A57" s="74" t="s">
        <v>1515</v>
      </c>
      <c r="B57" s="76" t="s">
        <v>1534</v>
      </c>
      <c r="C57" s="76" t="s">
        <v>1517</v>
      </c>
      <c r="D57" s="77" t="s">
        <v>1578</v>
      </c>
    </row>
    <row r="58">
      <c r="A58" s="74" t="s">
        <v>1515</v>
      </c>
      <c r="B58" s="76" t="s">
        <v>1532</v>
      </c>
      <c r="C58" s="76" t="s">
        <v>1517</v>
      </c>
      <c r="D58" s="77" t="s">
        <v>1579</v>
      </c>
    </row>
    <row r="59">
      <c r="A59" s="74" t="s">
        <v>1515</v>
      </c>
      <c r="B59" s="76" t="s">
        <v>1536</v>
      </c>
      <c r="C59" s="76" t="s">
        <v>1517</v>
      </c>
      <c r="D59" s="77" t="s">
        <v>1580</v>
      </c>
    </row>
    <row r="60">
      <c r="A60" s="74" t="s">
        <v>1515</v>
      </c>
      <c r="B60" s="76" t="s">
        <v>1536</v>
      </c>
      <c r="C60" s="76" t="s">
        <v>1517</v>
      </c>
      <c r="D60" s="77" t="s">
        <v>1581</v>
      </c>
    </row>
    <row r="61">
      <c r="A61" s="74" t="s">
        <v>1515</v>
      </c>
      <c r="B61" s="76" t="s">
        <v>1536</v>
      </c>
      <c r="C61" s="76" t="s">
        <v>1517</v>
      </c>
      <c r="D61" s="77" t="s">
        <v>1582</v>
      </c>
    </row>
    <row r="62">
      <c r="A62" s="74" t="s">
        <v>1515</v>
      </c>
      <c r="B62" s="76" t="s">
        <v>1543</v>
      </c>
      <c r="C62" s="76" t="s">
        <v>1517</v>
      </c>
      <c r="D62" s="77" t="s">
        <v>1583</v>
      </c>
    </row>
    <row r="63">
      <c r="A63" s="74" t="s">
        <v>1515</v>
      </c>
      <c r="B63" s="76" t="s">
        <v>1536</v>
      </c>
      <c r="C63" s="76" t="s">
        <v>1517</v>
      </c>
      <c r="D63" s="77" t="s">
        <v>1584</v>
      </c>
    </row>
    <row r="64">
      <c r="A64" s="74" t="s">
        <v>1515</v>
      </c>
      <c r="B64" s="76" t="s">
        <v>1543</v>
      </c>
      <c r="C64" s="76" t="s">
        <v>1517</v>
      </c>
      <c r="D64" s="77" t="s">
        <v>1585</v>
      </c>
    </row>
    <row r="65">
      <c r="A65" s="74" t="s">
        <v>1515</v>
      </c>
      <c r="B65" s="76" t="s">
        <v>1543</v>
      </c>
      <c r="C65" s="76" t="s">
        <v>1517</v>
      </c>
      <c r="D65" s="77" t="s">
        <v>1586</v>
      </c>
    </row>
    <row r="66">
      <c r="A66" s="74" t="s">
        <v>1515</v>
      </c>
      <c r="B66" s="76" t="s">
        <v>1534</v>
      </c>
      <c r="C66" s="76" t="s">
        <v>1517</v>
      </c>
      <c r="D66" s="77" t="s">
        <v>1587</v>
      </c>
    </row>
    <row r="67">
      <c r="A67" s="74" t="s">
        <v>1515</v>
      </c>
      <c r="B67" s="76" t="s">
        <v>1543</v>
      </c>
      <c r="C67" s="76" t="s">
        <v>1517</v>
      </c>
      <c r="D67" s="77" t="s">
        <v>1588</v>
      </c>
    </row>
    <row r="68">
      <c r="A68" s="74" t="s">
        <v>1515</v>
      </c>
      <c r="B68" s="76" t="s">
        <v>1536</v>
      </c>
      <c r="C68" s="76" t="s">
        <v>1517</v>
      </c>
      <c r="D68" s="77" t="s">
        <v>1589</v>
      </c>
    </row>
    <row r="69">
      <c r="A69" s="74" t="s">
        <v>1515</v>
      </c>
      <c r="B69" s="76" t="s">
        <v>1543</v>
      </c>
      <c r="C69" s="76" t="s">
        <v>1517</v>
      </c>
      <c r="D69" s="77" t="s">
        <v>1590</v>
      </c>
    </row>
    <row r="70">
      <c r="A70" s="78" t="s">
        <v>1515</v>
      </c>
      <c r="B70" s="79" t="s">
        <v>1543</v>
      </c>
      <c r="C70" s="79" t="s">
        <v>1517</v>
      </c>
      <c r="D70" s="80" t="s">
        <v>1591</v>
      </c>
    </row>
    <row r="71">
      <c r="A71" s="81" t="s">
        <v>1592</v>
      </c>
      <c r="B71" s="76" t="s">
        <v>1532</v>
      </c>
      <c r="C71" s="76" t="s">
        <v>1593</v>
      </c>
      <c r="D71" s="77" t="s">
        <v>1533</v>
      </c>
    </row>
    <row r="72">
      <c r="A72" s="81" t="s">
        <v>1592</v>
      </c>
      <c r="B72" s="76" t="s">
        <v>1543</v>
      </c>
      <c r="C72" s="76" t="s">
        <v>1594</v>
      </c>
      <c r="D72" s="77" t="s">
        <v>1595</v>
      </c>
    </row>
    <row r="73">
      <c r="A73" s="81" t="s">
        <v>1592</v>
      </c>
      <c r="B73" s="76" t="s">
        <v>1536</v>
      </c>
      <c r="C73" s="76" t="s">
        <v>1596</v>
      </c>
      <c r="D73" s="77" t="s">
        <v>1538</v>
      </c>
    </row>
    <row r="74">
      <c r="A74" s="81" t="s">
        <v>1592</v>
      </c>
      <c r="B74" s="76" t="s">
        <v>1534</v>
      </c>
      <c r="C74" s="76" t="s">
        <v>1597</v>
      </c>
      <c r="D74" s="77" t="s">
        <v>1539</v>
      </c>
    </row>
    <row r="75">
      <c r="A75" s="81" t="s">
        <v>1592</v>
      </c>
      <c r="B75" s="76" t="s">
        <v>1534</v>
      </c>
      <c r="C75" s="76" t="s">
        <v>1598</v>
      </c>
      <c r="D75" s="77" t="s">
        <v>1541</v>
      </c>
    </row>
    <row r="76">
      <c r="A76" s="81" t="s">
        <v>1592</v>
      </c>
      <c r="B76" s="76" t="s">
        <v>1534</v>
      </c>
      <c r="C76" s="76" t="s">
        <v>1599</v>
      </c>
      <c r="D76" s="77" t="s">
        <v>1600</v>
      </c>
    </row>
    <row r="77">
      <c r="A77" s="81" t="s">
        <v>1592</v>
      </c>
      <c r="B77" s="76" t="s">
        <v>1536</v>
      </c>
      <c r="C77" s="76" t="s">
        <v>1601</v>
      </c>
      <c r="D77" s="77" t="s">
        <v>1602</v>
      </c>
    </row>
    <row r="78">
      <c r="A78" s="81" t="s">
        <v>1592</v>
      </c>
      <c r="B78" s="76" t="s">
        <v>1532</v>
      </c>
      <c r="C78" s="76" t="s">
        <v>1603</v>
      </c>
      <c r="D78" s="77" t="s">
        <v>1604</v>
      </c>
    </row>
    <row r="79">
      <c r="A79" s="81" t="s">
        <v>1592</v>
      </c>
      <c r="B79" s="76" t="s">
        <v>1532</v>
      </c>
      <c r="C79" s="76" t="s">
        <v>1605</v>
      </c>
      <c r="D79" s="77" t="s">
        <v>1542</v>
      </c>
    </row>
    <row r="80">
      <c r="A80" s="81" t="s">
        <v>1592</v>
      </c>
      <c r="B80" s="76" t="s">
        <v>1543</v>
      </c>
      <c r="C80" s="76" t="s">
        <v>1606</v>
      </c>
      <c r="D80" s="77" t="s">
        <v>1544</v>
      </c>
    </row>
    <row r="81">
      <c r="A81" s="81" t="s">
        <v>1592</v>
      </c>
      <c r="B81" s="76" t="s">
        <v>1536</v>
      </c>
      <c r="C81" s="76" t="s">
        <v>1607</v>
      </c>
      <c r="D81" s="77" t="s">
        <v>1548</v>
      </c>
    </row>
    <row r="82">
      <c r="A82" s="81" t="s">
        <v>1592</v>
      </c>
      <c r="B82" s="76" t="s">
        <v>1532</v>
      </c>
      <c r="C82" s="76" t="s">
        <v>1608</v>
      </c>
      <c r="D82" s="77" t="s">
        <v>1549</v>
      </c>
    </row>
    <row r="83">
      <c r="A83" s="81" t="s">
        <v>1592</v>
      </c>
      <c r="B83" s="76" t="s">
        <v>1543</v>
      </c>
      <c r="C83" s="76" t="s">
        <v>1609</v>
      </c>
      <c r="D83" s="77" t="s">
        <v>1550</v>
      </c>
    </row>
    <row r="84">
      <c r="A84" s="81" t="s">
        <v>1592</v>
      </c>
      <c r="B84" s="76" t="s">
        <v>1534</v>
      </c>
      <c r="C84" s="76" t="s">
        <v>1610</v>
      </c>
      <c r="D84" s="77" t="s">
        <v>1558</v>
      </c>
    </row>
    <row r="85">
      <c r="A85" s="81" t="s">
        <v>1592</v>
      </c>
      <c r="B85" s="76" t="s">
        <v>1534</v>
      </c>
      <c r="C85" s="76" t="s">
        <v>1611</v>
      </c>
      <c r="D85" s="77" t="s">
        <v>1559</v>
      </c>
    </row>
    <row r="86">
      <c r="A86" s="81" t="s">
        <v>1592</v>
      </c>
      <c r="B86" s="76" t="s">
        <v>1543</v>
      </c>
      <c r="C86" s="76" t="s">
        <v>1612</v>
      </c>
      <c r="D86" s="77" t="s">
        <v>1562</v>
      </c>
    </row>
    <row r="87">
      <c r="A87" s="81" t="s">
        <v>1592</v>
      </c>
      <c r="B87" s="76" t="s">
        <v>1536</v>
      </c>
      <c r="C87" s="76" t="s">
        <v>1613</v>
      </c>
      <c r="D87" s="77" t="s">
        <v>1564</v>
      </c>
    </row>
    <row r="88">
      <c r="A88" s="81" t="s">
        <v>1592</v>
      </c>
      <c r="B88" s="76" t="s">
        <v>1532</v>
      </c>
      <c r="C88" s="76" t="s">
        <v>1614</v>
      </c>
      <c r="D88" s="77" t="s">
        <v>1565</v>
      </c>
    </row>
    <row r="89">
      <c r="A89" s="81" t="s">
        <v>1592</v>
      </c>
      <c r="B89" s="76" t="s">
        <v>1534</v>
      </c>
      <c r="C89" s="76" t="s">
        <v>1615</v>
      </c>
      <c r="D89" s="77" t="s">
        <v>1568</v>
      </c>
    </row>
    <row r="90">
      <c r="A90" s="81" t="s">
        <v>1592</v>
      </c>
      <c r="B90" s="76" t="s">
        <v>1534</v>
      </c>
      <c r="C90" s="76" t="s">
        <v>1616</v>
      </c>
      <c r="D90" s="77" t="s">
        <v>1570</v>
      </c>
    </row>
    <row r="91">
      <c r="A91" s="81" t="s">
        <v>1592</v>
      </c>
      <c r="B91" s="76" t="s">
        <v>1543</v>
      </c>
      <c r="C91" s="76" t="s">
        <v>1617</v>
      </c>
      <c r="D91" s="77" t="s">
        <v>1618</v>
      </c>
    </row>
    <row r="92">
      <c r="A92" s="81" t="s">
        <v>1592</v>
      </c>
      <c r="B92" s="76" t="s">
        <v>1536</v>
      </c>
      <c r="C92" s="76" t="s">
        <v>1619</v>
      </c>
      <c r="D92" s="77" t="s">
        <v>1572</v>
      </c>
    </row>
    <row r="93">
      <c r="A93" s="81" t="s">
        <v>1592</v>
      </c>
      <c r="B93" s="76" t="s">
        <v>1532</v>
      </c>
      <c r="C93" s="76" t="s">
        <v>1620</v>
      </c>
      <c r="D93" s="77" t="s">
        <v>1574</v>
      </c>
    </row>
    <row r="94">
      <c r="A94" s="81" t="s">
        <v>1592</v>
      </c>
      <c r="B94" s="76" t="s">
        <v>1534</v>
      </c>
      <c r="C94" s="76" t="s">
        <v>1621</v>
      </c>
      <c r="D94" s="77" t="s">
        <v>1622</v>
      </c>
    </row>
    <row r="95">
      <c r="A95" s="81" t="s">
        <v>1592</v>
      </c>
      <c r="B95" s="76" t="s">
        <v>1534</v>
      </c>
      <c r="C95" s="76" t="s">
        <v>1623</v>
      </c>
      <c r="D95" s="77" t="s">
        <v>1576</v>
      </c>
    </row>
    <row r="96">
      <c r="A96" s="81" t="s">
        <v>1592</v>
      </c>
      <c r="B96" s="76" t="s">
        <v>1534</v>
      </c>
      <c r="C96" s="76" t="s">
        <v>1624</v>
      </c>
      <c r="D96" s="77" t="s">
        <v>1578</v>
      </c>
    </row>
    <row r="97">
      <c r="A97" s="81" t="s">
        <v>1592</v>
      </c>
      <c r="B97" s="76" t="s">
        <v>1532</v>
      </c>
      <c r="C97" s="76" t="s">
        <v>1625</v>
      </c>
      <c r="D97" s="77" t="s">
        <v>1579</v>
      </c>
    </row>
    <row r="98">
      <c r="A98" s="81" t="s">
        <v>1592</v>
      </c>
      <c r="B98" s="76" t="s">
        <v>1536</v>
      </c>
      <c r="C98" s="76" t="s">
        <v>1626</v>
      </c>
      <c r="D98" s="77" t="s">
        <v>1580</v>
      </c>
    </row>
    <row r="99">
      <c r="A99" s="81" t="s">
        <v>1592</v>
      </c>
      <c r="B99" s="76" t="s">
        <v>1536</v>
      </c>
      <c r="C99" s="76" t="s">
        <v>1627</v>
      </c>
      <c r="D99" s="77" t="s">
        <v>1581</v>
      </c>
    </row>
    <row r="100">
      <c r="A100" s="81" t="s">
        <v>1592</v>
      </c>
      <c r="B100" s="76" t="s">
        <v>1536</v>
      </c>
      <c r="C100" s="76" t="s">
        <v>1628</v>
      </c>
      <c r="D100" s="77" t="s">
        <v>1629</v>
      </c>
    </row>
    <row r="101">
      <c r="A101" s="81" t="s">
        <v>1592</v>
      </c>
      <c r="B101" s="76" t="s">
        <v>1536</v>
      </c>
      <c r="C101" s="76" t="s">
        <v>1630</v>
      </c>
      <c r="D101" s="77" t="s">
        <v>1582</v>
      </c>
    </row>
    <row r="102">
      <c r="A102" s="81" t="s">
        <v>1592</v>
      </c>
      <c r="B102" s="76" t="s">
        <v>1543</v>
      </c>
      <c r="C102" s="76" t="s">
        <v>1631</v>
      </c>
      <c r="D102" s="77" t="s">
        <v>1583</v>
      </c>
    </row>
    <row r="103">
      <c r="A103" s="81" t="s">
        <v>1592</v>
      </c>
      <c r="B103" s="76" t="s">
        <v>1536</v>
      </c>
      <c r="C103" s="76" t="s">
        <v>1632</v>
      </c>
      <c r="D103" s="77" t="s">
        <v>1584</v>
      </c>
    </row>
    <row r="104">
      <c r="A104" s="81" t="s">
        <v>1592</v>
      </c>
      <c r="B104" s="76" t="s">
        <v>1543</v>
      </c>
      <c r="C104" s="76" t="s">
        <v>1633</v>
      </c>
      <c r="D104" s="77" t="s">
        <v>1585</v>
      </c>
    </row>
    <row r="105">
      <c r="A105" s="81" t="s">
        <v>1592</v>
      </c>
      <c r="B105" s="76" t="s">
        <v>1543</v>
      </c>
      <c r="C105" s="76" t="s">
        <v>1634</v>
      </c>
      <c r="D105" s="77" t="s">
        <v>1586</v>
      </c>
    </row>
    <row r="106">
      <c r="A106" s="81" t="s">
        <v>1592</v>
      </c>
      <c r="B106" s="76" t="s">
        <v>1534</v>
      </c>
      <c r="C106" s="76" t="s">
        <v>1635</v>
      </c>
      <c r="D106" s="77" t="s">
        <v>1587</v>
      </c>
    </row>
    <row r="107">
      <c r="A107" s="82" t="s">
        <v>1592</v>
      </c>
      <c r="B107" s="79" t="s">
        <v>1543</v>
      </c>
      <c r="C107" s="79" t="s">
        <v>1636</v>
      </c>
      <c r="D107" s="80" t="s">
        <v>1590</v>
      </c>
    </row>
    <row r="108">
      <c r="A108" s="83"/>
      <c r="B108" s="84"/>
    </row>
    <row r="109">
      <c r="A109" s="83"/>
      <c r="B109" s="84"/>
    </row>
    <row r="110">
      <c r="A110" s="83"/>
      <c r="B110" s="84"/>
    </row>
    <row r="111">
      <c r="A111" s="83"/>
      <c r="B111" s="84"/>
    </row>
    <row r="112">
      <c r="A112" s="83"/>
      <c r="B112" s="84"/>
    </row>
    <row r="113">
      <c r="A113" s="83"/>
      <c r="B113" s="84"/>
    </row>
    <row r="114">
      <c r="A114" s="83"/>
      <c r="B114" s="84"/>
    </row>
    <row r="115">
      <c r="A115" s="83"/>
      <c r="B115" s="84"/>
    </row>
    <row r="116">
      <c r="A116" s="83"/>
      <c r="B116" s="84"/>
    </row>
    <row r="117">
      <c r="A117" s="83"/>
      <c r="B117" s="84"/>
    </row>
    <row r="118">
      <c r="A118" s="83"/>
      <c r="B118" s="84"/>
    </row>
    <row r="119">
      <c r="A119" s="83"/>
      <c r="B119" s="84"/>
    </row>
    <row r="120">
      <c r="A120" s="83"/>
      <c r="B120" s="84"/>
    </row>
    <row r="121">
      <c r="A121" s="83"/>
      <c r="B121" s="84"/>
    </row>
    <row r="122">
      <c r="A122" s="83"/>
      <c r="B122" s="84"/>
    </row>
    <row r="123">
      <c r="A123" s="83"/>
      <c r="B123" s="84"/>
    </row>
    <row r="124">
      <c r="A124" s="83"/>
      <c r="B124" s="84"/>
    </row>
    <row r="125">
      <c r="A125" s="83"/>
      <c r="B125" s="84"/>
    </row>
    <row r="126">
      <c r="A126" s="83"/>
      <c r="B126" s="84"/>
    </row>
    <row r="127">
      <c r="A127" s="83"/>
      <c r="B127" s="84"/>
    </row>
    <row r="128">
      <c r="A128" s="83"/>
      <c r="B128" s="84"/>
    </row>
    <row r="129">
      <c r="A129" s="83"/>
      <c r="B129" s="84"/>
    </row>
    <row r="130">
      <c r="A130" s="83"/>
      <c r="B130" s="84"/>
    </row>
    <row r="131">
      <c r="A131" s="83"/>
      <c r="B131" s="84"/>
    </row>
    <row r="132">
      <c r="A132" s="83"/>
      <c r="B132" s="84"/>
    </row>
    <row r="133">
      <c r="A133" s="83"/>
      <c r="B133" s="84"/>
    </row>
    <row r="134">
      <c r="A134" s="83"/>
      <c r="B134" s="84"/>
    </row>
    <row r="135">
      <c r="A135" s="83"/>
      <c r="B135" s="84"/>
    </row>
    <row r="136">
      <c r="A136" s="83"/>
      <c r="B136" s="84"/>
    </row>
    <row r="137">
      <c r="A137" s="83"/>
      <c r="B137" s="84"/>
    </row>
    <row r="138">
      <c r="A138" s="83"/>
      <c r="B138" s="84"/>
    </row>
    <row r="139">
      <c r="A139" s="83"/>
      <c r="B139" s="84"/>
    </row>
    <row r="140">
      <c r="A140" s="83"/>
      <c r="B140" s="84"/>
    </row>
    <row r="141">
      <c r="A141" s="83"/>
      <c r="B141" s="84"/>
    </row>
    <row r="142">
      <c r="A142" s="83"/>
      <c r="B142" s="84"/>
    </row>
    <row r="143">
      <c r="A143" s="83"/>
      <c r="B143" s="84"/>
    </row>
    <row r="144">
      <c r="A144" s="83"/>
      <c r="B144" s="84"/>
    </row>
    <row r="145">
      <c r="A145" s="83"/>
      <c r="B145" s="84"/>
    </row>
    <row r="146">
      <c r="A146" s="83"/>
      <c r="B146" s="84"/>
    </row>
    <row r="147">
      <c r="A147" s="83"/>
      <c r="B147" s="84"/>
    </row>
    <row r="148">
      <c r="A148" s="83"/>
      <c r="B148" s="84"/>
    </row>
    <row r="149">
      <c r="A149" s="83"/>
      <c r="B149" s="84"/>
    </row>
    <row r="150">
      <c r="A150" s="83"/>
      <c r="B150" s="84"/>
    </row>
    <row r="151">
      <c r="A151" s="83"/>
      <c r="B151" s="84"/>
    </row>
    <row r="152">
      <c r="A152" s="83"/>
      <c r="B152" s="84"/>
    </row>
    <row r="153">
      <c r="A153" s="83"/>
      <c r="B153" s="84"/>
    </row>
    <row r="154">
      <c r="A154" s="83"/>
      <c r="B154" s="84"/>
    </row>
    <row r="155">
      <c r="A155" s="83"/>
      <c r="B155" s="84"/>
    </row>
    <row r="156">
      <c r="A156" s="83"/>
      <c r="B156" s="84"/>
    </row>
    <row r="157">
      <c r="A157" s="83"/>
      <c r="B157" s="84"/>
    </row>
    <row r="158">
      <c r="A158" s="83"/>
      <c r="B158" s="84"/>
    </row>
    <row r="159">
      <c r="A159" s="83"/>
      <c r="B159" s="84"/>
    </row>
    <row r="160">
      <c r="A160" s="83"/>
      <c r="B160" s="84"/>
    </row>
    <row r="161">
      <c r="A161" s="83"/>
      <c r="B161" s="84"/>
    </row>
    <row r="162">
      <c r="A162" s="83"/>
      <c r="B162" s="84"/>
    </row>
    <row r="163">
      <c r="A163" s="83"/>
      <c r="B163" s="84"/>
    </row>
    <row r="164">
      <c r="A164" s="83"/>
      <c r="B164" s="84"/>
    </row>
    <row r="165">
      <c r="A165" s="83"/>
      <c r="B165" s="84"/>
    </row>
    <row r="166">
      <c r="A166" s="83"/>
      <c r="B166" s="84"/>
    </row>
    <row r="167">
      <c r="A167" s="83"/>
      <c r="B167" s="84"/>
    </row>
    <row r="168">
      <c r="A168" s="83"/>
      <c r="B168" s="84"/>
    </row>
    <row r="169">
      <c r="A169" s="83"/>
      <c r="B169" s="84"/>
    </row>
    <row r="170">
      <c r="A170" s="83"/>
      <c r="B170" s="84"/>
    </row>
    <row r="171">
      <c r="A171" s="83"/>
      <c r="B171" s="84"/>
    </row>
    <row r="172">
      <c r="A172" s="83"/>
      <c r="B172" s="84"/>
    </row>
    <row r="173">
      <c r="A173" s="83"/>
      <c r="B173" s="84"/>
    </row>
    <row r="174">
      <c r="A174" s="83"/>
      <c r="B174" s="84"/>
    </row>
    <row r="175">
      <c r="A175" s="83"/>
      <c r="B175" s="84"/>
    </row>
    <row r="176">
      <c r="A176" s="83"/>
      <c r="B176" s="84"/>
    </row>
    <row r="177">
      <c r="A177" s="83"/>
      <c r="B177" s="84"/>
    </row>
    <row r="178">
      <c r="A178" s="83"/>
      <c r="B178" s="84"/>
    </row>
    <row r="179">
      <c r="A179" s="83"/>
      <c r="B179" s="84"/>
    </row>
    <row r="180">
      <c r="A180" s="83"/>
      <c r="B180" s="84"/>
    </row>
    <row r="181">
      <c r="A181" s="83"/>
      <c r="B181" s="84"/>
    </row>
    <row r="182">
      <c r="A182" s="83"/>
      <c r="B182" s="84"/>
    </row>
    <row r="183">
      <c r="A183" s="83"/>
      <c r="B183" s="84"/>
    </row>
    <row r="184">
      <c r="A184" s="83"/>
      <c r="B184" s="84"/>
    </row>
    <row r="185">
      <c r="A185" s="83"/>
      <c r="B185" s="84"/>
    </row>
    <row r="186">
      <c r="A186" s="83"/>
      <c r="B186" s="84"/>
    </row>
    <row r="187">
      <c r="A187" s="83"/>
      <c r="B187" s="84"/>
    </row>
    <row r="188">
      <c r="A188" s="83"/>
      <c r="B188" s="84"/>
    </row>
    <row r="189">
      <c r="A189" s="83"/>
      <c r="B189" s="84"/>
    </row>
    <row r="190">
      <c r="A190" s="83"/>
      <c r="B190" s="84"/>
    </row>
    <row r="191">
      <c r="A191" s="83"/>
      <c r="B191" s="84"/>
    </row>
    <row r="192">
      <c r="A192" s="83"/>
      <c r="B192" s="84"/>
    </row>
    <row r="193">
      <c r="A193" s="83"/>
      <c r="B193" s="84"/>
    </row>
    <row r="194">
      <c r="A194" s="83"/>
      <c r="B194" s="84"/>
    </row>
    <row r="195">
      <c r="A195" s="83"/>
      <c r="B195" s="84"/>
    </row>
    <row r="196">
      <c r="A196" s="83"/>
      <c r="B196" s="84"/>
    </row>
    <row r="197">
      <c r="A197" s="83"/>
      <c r="B197" s="84"/>
    </row>
    <row r="198">
      <c r="A198" s="83"/>
      <c r="B198" s="84"/>
    </row>
    <row r="199">
      <c r="A199" s="83"/>
      <c r="B199" s="84"/>
    </row>
    <row r="200">
      <c r="A200" s="83"/>
      <c r="B200" s="84"/>
    </row>
    <row r="201">
      <c r="A201" s="83"/>
      <c r="B201" s="84"/>
    </row>
    <row r="202">
      <c r="A202" s="83"/>
      <c r="B202" s="84"/>
    </row>
    <row r="203">
      <c r="A203" s="83"/>
      <c r="B203" s="84"/>
    </row>
    <row r="204">
      <c r="A204" s="83"/>
      <c r="B204" s="84"/>
    </row>
    <row r="205">
      <c r="A205" s="83"/>
      <c r="B205" s="84"/>
    </row>
    <row r="206">
      <c r="A206" s="83"/>
      <c r="B206" s="84"/>
    </row>
    <row r="207">
      <c r="A207" s="83"/>
      <c r="B207" s="84"/>
    </row>
    <row r="208">
      <c r="A208" s="83"/>
      <c r="B208" s="84"/>
    </row>
    <row r="209">
      <c r="A209" s="83"/>
      <c r="B209" s="84"/>
    </row>
    <row r="210">
      <c r="A210" s="83"/>
      <c r="B210" s="84"/>
    </row>
    <row r="211">
      <c r="A211" s="83"/>
      <c r="B211" s="84"/>
    </row>
    <row r="212">
      <c r="A212" s="83"/>
      <c r="B212" s="84"/>
    </row>
    <row r="213">
      <c r="A213" s="83"/>
      <c r="B213" s="84"/>
    </row>
    <row r="214">
      <c r="A214" s="83"/>
      <c r="B214" s="84"/>
    </row>
    <row r="215">
      <c r="A215" s="83"/>
      <c r="B215" s="84"/>
    </row>
    <row r="216">
      <c r="A216" s="83"/>
      <c r="B216" s="84"/>
    </row>
    <row r="217">
      <c r="A217" s="83"/>
      <c r="B217" s="84"/>
    </row>
    <row r="218">
      <c r="A218" s="83"/>
      <c r="B218" s="84"/>
    </row>
    <row r="219">
      <c r="A219" s="83"/>
      <c r="B219" s="84"/>
    </row>
    <row r="220">
      <c r="A220" s="83"/>
      <c r="B220" s="84"/>
    </row>
    <row r="221">
      <c r="A221" s="83"/>
      <c r="B221" s="84"/>
    </row>
    <row r="222">
      <c r="A222" s="83"/>
      <c r="B222" s="84"/>
    </row>
    <row r="223">
      <c r="A223" s="83"/>
      <c r="B223" s="84"/>
    </row>
    <row r="224">
      <c r="A224" s="83"/>
      <c r="B224" s="84"/>
    </row>
    <row r="225">
      <c r="A225" s="83"/>
      <c r="B225" s="84"/>
    </row>
    <row r="226">
      <c r="A226" s="83"/>
      <c r="B226" s="84"/>
    </row>
    <row r="227">
      <c r="A227" s="83"/>
      <c r="B227" s="84"/>
    </row>
    <row r="228">
      <c r="A228" s="83"/>
      <c r="B228" s="84"/>
    </row>
    <row r="229">
      <c r="A229" s="83"/>
      <c r="B229" s="84"/>
    </row>
    <row r="230">
      <c r="A230" s="83"/>
      <c r="B230" s="84"/>
    </row>
    <row r="231">
      <c r="A231" s="83"/>
      <c r="B231" s="84"/>
    </row>
    <row r="232">
      <c r="A232" s="83"/>
      <c r="B232" s="84"/>
    </row>
    <row r="233">
      <c r="A233" s="83"/>
      <c r="B233" s="84"/>
    </row>
    <row r="234">
      <c r="A234" s="83"/>
      <c r="B234" s="84"/>
    </row>
    <row r="235">
      <c r="A235" s="83"/>
      <c r="B235" s="84"/>
    </row>
    <row r="236">
      <c r="A236" s="83"/>
      <c r="B236" s="84"/>
    </row>
    <row r="237">
      <c r="A237" s="83"/>
      <c r="B237" s="84"/>
    </row>
    <row r="238">
      <c r="A238" s="83"/>
      <c r="B238" s="84"/>
    </row>
    <row r="239">
      <c r="A239" s="83"/>
      <c r="B239" s="84"/>
    </row>
    <row r="240">
      <c r="A240" s="83"/>
      <c r="B240" s="84"/>
    </row>
    <row r="241">
      <c r="A241" s="83"/>
      <c r="B241" s="84"/>
    </row>
    <row r="242">
      <c r="A242" s="83"/>
      <c r="B242" s="84"/>
    </row>
    <row r="243">
      <c r="A243" s="83"/>
      <c r="B243" s="84"/>
    </row>
    <row r="244">
      <c r="A244" s="83"/>
      <c r="B244" s="84"/>
    </row>
    <row r="245">
      <c r="A245" s="83"/>
      <c r="B245" s="84"/>
    </row>
    <row r="246">
      <c r="A246" s="83"/>
      <c r="B246" s="84"/>
    </row>
    <row r="247">
      <c r="A247" s="83"/>
      <c r="B247" s="84"/>
    </row>
    <row r="248">
      <c r="A248" s="83"/>
      <c r="B248" s="84"/>
    </row>
    <row r="249">
      <c r="A249" s="83"/>
      <c r="B249" s="84"/>
    </row>
    <row r="250">
      <c r="A250" s="83"/>
      <c r="B250" s="84"/>
    </row>
    <row r="251">
      <c r="A251" s="83"/>
      <c r="B251" s="84"/>
    </row>
    <row r="252">
      <c r="A252" s="83"/>
      <c r="B252" s="84"/>
    </row>
    <row r="253">
      <c r="A253" s="83"/>
      <c r="B253" s="84"/>
    </row>
    <row r="254">
      <c r="A254" s="83"/>
      <c r="B254" s="84"/>
    </row>
    <row r="255">
      <c r="A255" s="83"/>
      <c r="B255" s="84"/>
    </row>
    <row r="256">
      <c r="A256" s="83"/>
      <c r="B256" s="84"/>
    </row>
    <row r="257">
      <c r="A257" s="83"/>
      <c r="B257" s="84"/>
    </row>
    <row r="258">
      <c r="A258" s="83"/>
      <c r="B258" s="84"/>
    </row>
    <row r="259">
      <c r="A259" s="83"/>
      <c r="B259" s="84"/>
    </row>
    <row r="260">
      <c r="A260" s="83"/>
      <c r="B260" s="84"/>
    </row>
    <row r="261">
      <c r="A261" s="83"/>
      <c r="B261" s="84"/>
    </row>
    <row r="262">
      <c r="A262" s="83"/>
      <c r="B262" s="84"/>
    </row>
    <row r="263">
      <c r="A263" s="83"/>
      <c r="B263" s="84"/>
    </row>
    <row r="264">
      <c r="A264" s="83"/>
      <c r="B264" s="84"/>
    </row>
    <row r="265">
      <c r="A265" s="83"/>
      <c r="B265" s="84"/>
    </row>
    <row r="266">
      <c r="A266" s="83"/>
      <c r="B266" s="84"/>
    </row>
    <row r="267">
      <c r="A267" s="83"/>
      <c r="B267" s="84"/>
    </row>
    <row r="268">
      <c r="A268" s="83"/>
      <c r="B268" s="84"/>
    </row>
    <row r="269">
      <c r="A269" s="83"/>
      <c r="B269" s="84"/>
    </row>
    <row r="270">
      <c r="A270" s="83"/>
      <c r="B270" s="84"/>
    </row>
    <row r="271">
      <c r="A271" s="83"/>
      <c r="B271" s="84"/>
    </row>
    <row r="272">
      <c r="A272" s="83"/>
      <c r="B272" s="84"/>
    </row>
    <row r="273">
      <c r="A273" s="83"/>
      <c r="B273" s="84"/>
    </row>
    <row r="274">
      <c r="A274" s="83"/>
      <c r="B274" s="84"/>
    </row>
    <row r="275">
      <c r="A275" s="83"/>
      <c r="B275" s="84"/>
    </row>
    <row r="276">
      <c r="A276" s="83"/>
      <c r="B276" s="84"/>
    </row>
    <row r="277">
      <c r="A277" s="83"/>
      <c r="B277" s="84"/>
    </row>
    <row r="278">
      <c r="A278" s="83"/>
      <c r="B278" s="84"/>
    </row>
    <row r="279">
      <c r="A279" s="83"/>
      <c r="B279" s="84"/>
    </row>
    <row r="280">
      <c r="A280" s="83"/>
      <c r="B280" s="84"/>
    </row>
    <row r="281">
      <c r="A281" s="83"/>
      <c r="B281" s="84"/>
    </row>
    <row r="282">
      <c r="A282" s="83"/>
      <c r="B282" s="84"/>
    </row>
    <row r="283">
      <c r="A283" s="83"/>
      <c r="B283" s="84"/>
    </row>
    <row r="284">
      <c r="A284" s="83"/>
      <c r="B284" s="84"/>
    </row>
    <row r="285">
      <c r="A285" s="83"/>
      <c r="B285" s="84"/>
    </row>
    <row r="286">
      <c r="A286" s="83"/>
      <c r="B286" s="84"/>
    </row>
    <row r="287">
      <c r="A287" s="83"/>
      <c r="B287" s="84"/>
    </row>
    <row r="288">
      <c r="A288" s="83"/>
      <c r="B288" s="84"/>
    </row>
    <row r="289">
      <c r="A289" s="83"/>
      <c r="B289" s="84"/>
    </row>
    <row r="290">
      <c r="A290" s="83"/>
      <c r="B290" s="84"/>
    </row>
    <row r="291">
      <c r="A291" s="83"/>
      <c r="B291" s="84"/>
    </row>
    <row r="292">
      <c r="A292" s="83"/>
      <c r="B292" s="84"/>
    </row>
    <row r="293">
      <c r="A293" s="83"/>
      <c r="B293" s="84"/>
    </row>
    <row r="294">
      <c r="A294" s="83"/>
      <c r="B294" s="84"/>
    </row>
    <row r="295">
      <c r="A295" s="83"/>
      <c r="B295" s="84"/>
    </row>
    <row r="296">
      <c r="A296" s="83"/>
      <c r="B296" s="84"/>
    </row>
    <row r="297">
      <c r="A297" s="83"/>
      <c r="B297" s="84"/>
    </row>
    <row r="298">
      <c r="A298" s="83"/>
      <c r="B298" s="84"/>
    </row>
    <row r="299">
      <c r="A299" s="83"/>
      <c r="B299" s="84"/>
    </row>
    <row r="300">
      <c r="A300" s="83"/>
      <c r="B300" s="84"/>
    </row>
    <row r="301">
      <c r="A301" s="83"/>
      <c r="B301" s="84"/>
    </row>
    <row r="302">
      <c r="A302" s="83"/>
      <c r="B302" s="84"/>
    </row>
    <row r="303">
      <c r="A303" s="83"/>
      <c r="B303" s="84"/>
    </row>
    <row r="304">
      <c r="A304" s="83"/>
      <c r="B304" s="84"/>
    </row>
    <row r="305">
      <c r="A305" s="83"/>
      <c r="B305" s="84"/>
    </row>
    <row r="306">
      <c r="A306" s="83"/>
      <c r="B306" s="84"/>
    </row>
    <row r="307">
      <c r="A307" s="83"/>
      <c r="B307" s="84"/>
    </row>
    <row r="308">
      <c r="A308" s="83"/>
      <c r="B308" s="84"/>
    </row>
    <row r="309">
      <c r="A309" s="83"/>
      <c r="B309" s="84"/>
    </row>
    <row r="310">
      <c r="A310" s="83"/>
      <c r="B310" s="84"/>
    </row>
    <row r="311">
      <c r="A311" s="83"/>
      <c r="B311" s="84"/>
    </row>
    <row r="312">
      <c r="A312" s="83"/>
      <c r="B312" s="84"/>
    </row>
    <row r="313">
      <c r="A313" s="83"/>
      <c r="B313" s="84"/>
    </row>
    <row r="314">
      <c r="A314" s="83"/>
      <c r="B314" s="84"/>
    </row>
    <row r="315">
      <c r="A315" s="83"/>
      <c r="B315" s="84"/>
    </row>
    <row r="316">
      <c r="A316" s="83"/>
      <c r="B316" s="84"/>
    </row>
    <row r="317">
      <c r="A317" s="83"/>
      <c r="B317" s="84"/>
    </row>
    <row r="318">
      <c r="A318" s="83"/>
      <c r="B318" s="84"/>
    </row>
    <row r="319">
      <c r="A319" s="83"/>
      <c r="B319" s="84"/>
    </row>
    <row r="320">
      <c r="A320" s="83"/>
      <c r="B320" s="84"/>
    </row>
    <row r="321">
      <c r="A321" s="83"/>
      <c r="B321" s="84"/>
    </row>
    <row r="322">
      <c r="A322" s="83"/>
      <c r="B322" s="84"/>
    </row>
    <row r="323">
      <c r="A323" s="83"/>
      <c r="B323" s="84"/>
    </row>
    <row r="324">
      <c r="A324" s="83"/>
      <c r="B324" s="84"/>
    </row>
    <row r="325">
      <c r="A325" s="83"/>
      <c r="B325" s="84"/>
    </row>
    <row r="326">
      <c r="A326" s="83"/>
      <c r="B326" s="84"/>
    </row>
    <row r="327">
      <c r="A327" s="83"/>
      <c r="B327" s="84"/>
    </row>
    <row r="328">
      <c r="A328" s="83"/>
      <c r="B328" s="84"/>
    </row>
    <row r="329">
      <c r="A329" s="83"/>
      <c r="B329" s="84"/>
    </row>
    <row r="330">
      <c r="A330" s="83"/>
      <c r="B330" s="84"/>
    </row>
    <row r="331">
      <c r="A331" s="83"/>
      <c r="B331" s="84"/>
    </row>
    <row r="332">
      <c r="A332" s="83"/>
      <c r="B332" s="84"/>
    </row>
    <row r="333">
      <c r="A333" s="83"/>
      <c r="B333" s="84"/>
    </row>
    <row r="334">
      <c r="A334" s="83"/>
      <c r="B334" s="84"/>
    </row>
    <row r="335">
      <c r="A335" s="83"/>
      <c r="B335" s="84"/>
    </row>
    <row r="336">
      <c r="A336" s="83"/>
      <c r="B336" s="84"/>
    </row>
    <row r="337">
      <c r="A337" s="83"/>
      <c r="B337" s="84"/>
    </row>
    <row r="338">
      <c r="A338" s="83"/>
      <c r="B338" s="84"/>
    </row>
    <row r="339">
      <c r="A339" s="83"/>
      <c r="B339" s="84"/>
    </row>
    <row r="340">
      <c r="A340" s="83"/>
      <c r="B340" s="84"/>
    </row>
    <row r="341">
      <c r="A341" s="83"/>
      <c r="B341" s="84"/>
    </row>
    <row r="342">
      <c r="A342" s="83"/>
      <c r="B342" s="84"/>
    </row>
    <row r="343">
      <c r="A343" s="83"/>
      <c r="B343" s="84"/>
    </row>
    <row r="344">
      <c r="A344" s="83"/>
      <c r="B344" s="84"/>
    </row>
    <row r="345">
      <c r="A345" s="83"/>
      <c r="B345" s="84"/>
    </row>
    <row r="346">
      <c r="A346" s="83"/>
      <c r="B346" s="84"/>
    </row>
    <row r="347">
      <c r="A347" s="83"/>
      <c r="B347" s="84"/>
    </row>
    <row r="348">
      <c r="A348" s="83"/>
      <c r="B348" s="84"/>
    </row>
    <row r="349">
      <c r="A349" s="83"/>
      <c r="B349" s="84"/>
    </row>
    <row r="350">
      <c r="A350" s="83"/>
      <c r="B350" s="84"/>
    </row>
    <row r="351">
      <c r="A351" s="83"/>
      <c r="B351" s="84"/>
    </row>
    <row r="352">
      <c r="A352" s="83"/>
      <c r="B352" s="84"/>
    </row>
    <row r="353">
      <c r="A353" s="83"/>
      <c r="B353" s="84"/>
    </row>
    <row r="354">
      <c r="A354" s="83"/>
      <c r="B354" s="84"/>
    </row>
    <row r="355">
      <c r="A355" s="83"/>
      <c r="B355" s="84"/>
    </row>
    <row r="356">
      <c r="A356" s="83"/>
      <c r="B356" s="84"/>
    </row>
    <row r="357">
      <c r="A357" s="83"/>
      <c r="B357" s="84"/>
    </row>
    <row r="358">
      <c r="A358" s="83"/>
      <c r="B358" s="84"/>
    </row>
    <row r="359">
      <c r="A359" s="83"/>
      <c r="B359" s="84"/>
    </row>
    <row r="360">
      <c r="A360" s="83"/>
      <c r="B360" s="84"/>
    </row>
    <row r="361">
      <c r="A361" s="83"/>
      <c r="B361" s="84"/>
    </row>
    <row r="362">
      <c r="A362" s="83"/>
      <c r="B362" s="84"/>
    </row>
    <row r="363">
      <c r="A363" s="83"/>
      <c r="B363" s="84"/>
    </row>
    <row r="364">
      <c r="A364" s="83"/>
      <c r="B364" s="84"/>
    </row>
    <row r="365">
      <c r="A365" s="83"/>
      <c r="B365" s="84"/>
    </row>
    <row r="366">
      <c r="A366" s="83"/>
      <c r="B366" s="84"/>
    </row>
    <row r="367">
      <c r="A367" s="83"/>
      <c r="B367" s="84"/>
    </row>
    <row r="368">
      <c r="A368" s="83"/>
      <c r="B368" s="84"/>
    </row>
    <row r="369">
      <c r="A369" s="83"/>
      <c r="B369" s="84"/>
    </row>
    <row r="370">
      <c r="A370" s="83"/>
      <c r="B370" s="84"/>
    </row>
    <row r="371">
      <c r="A371" s="83"/>
      <c r="B371" s="84"/>
    </row>
    <row r="372">
      <c r="A372" s="83"/>
      <c r="B372" s="84"/>
    </row>
    <row r="373">
      <c r="A373" s="83"/>
      <c r="B373" s="84"/>
    </row>
    <row r="374">
      <c r="A374" s="83"/>
      <c r="B374" s="84"/>
    </row>
    <row r="375">
      <c r="A375" s="83"/>
      <c r="B375" s="84"/>
    </row>
    <row r="376">
      <c r="A376" s="83"/>
      <c r="B376" s="84"/>
    </row>
    <row r="377">
      <c r="A377" s="83"/>
      <c r="B377" s="84"/>
    </row>
    <row r="378">
      <c r="A378" s="83"/>
      <c r="B378" s="84"/>
    </row>
    <row r="379">
      <c r="A379" s="83"/>
      <c r="B379" s="84"/>
    </row>
    <row r="380">
      <c r="A380" s="83"/>
      <c r="B380" s="84"/>
    </row>
    <row r="381">
      <c r="A381" s="83"/>
      <c r="B381" s="84"/>
    </row>
    <row r="382">
      <c r="A382" s="83"/>
      <c r="B382" s="84"/>
    </row>
    <row r="383">
      <c r="A383" s="83"/>
      <c r="B383" s="84"/>
    </row>
    <row r="384">
      <c r="A384" s="83"/>
      <c r="B384" s="84"/>
    </row>
    <row r="385">
      <c r="A385" s="83"/>
      <c r="B385" s="84"/>
    </row>
    <row r="386">
      <c r="A386" s="83"/>
      <c r="B386" s="84"/>
    </row>
    <row r="387">
      <c r="A387" s="83"/>
      <c r="B387" s="84"/>
    </row>
    <row r="388">
      <c r="A388" s="83"/>
      <c r="B388" s="84"/>
    </row>
    <row r="389">
      <c r="A389" s="83"/>
      <c r="B389" s="84"/>
    </row>
    <row r="390">
      <c r="A390" s="83"/>
      <c r="B390" s="84"/>
    </row>
    <row r="391">
      <c r="A391" s="83"/>
      <c r="B391" s="84"/>
    </row>
    <row r="392">
      <c r="A392" s="83"/>
      <c r="B392" s="84"/>
    </row>
    <row r="393">
      <c r="A393" s="83"/>
      <c r="B393" s="84"/>
    </row>
    <row r="394">
      <c r="A394" s="83"/>
      <c r="B394" s="84"/>
    </row>
    <row r="395">
      <c r="A395" s="83"/>
      <c r="B395" s="84"/>
    </row>
    <row r="396">
      <c r="A396" s="83"/>
      <c r="B396" s="84"/>
    </row>
    <row r="397">
      <c r="A397" s="83"/>
      <c r="B397" s="84"/>
    </row>
    <row r="398">
      <c r="A398" s="83"/>
      <c r="B398" s="84"/>
    </row>
    <row r="399">
      <c r="A399" s="83"/>
      <c r="B399" s="84"/>
    </row>
    <row r="400">
      <c r="A400" s="83"/>
      <c r="B400" s="84"/>
    </row>
    <row r="401">
      <c r="A401" s="83"/>
      <c r="B401" s="84"/>
    </row>
    <row r="402">
      <c r="A402" s="83"/>
      <c r="B402" s="84"/>
    </row>
    <row r="403">
      <c r="A403" s="83"/>
      <c r="B403" s="84"/>
    </row>
    <row r="404">
      <c r="A404" s="83"/>
      <c r="B404" s="84"/>
    </row>
    <row r="405">
      <c r="A405" s="83"/>
      <c r="B405" s="84"/>
    </row>
    <row r="406">
      <c r="A406" s="83"/>
      <c r="B406" s="84"/>
    </row>
    <row r="407">
      <c r="A407" s="83"/>
      <c r="B407" s="84"/>
    </row>
    <row r="408">
      <c r="A408" s="83"/>
      <c r="B408" s="84"/>
    </row>
    <row r="409">
      <c r="A409" s="83"/>
      <c r="B409" s="84"/>
    </row>
    <row r="410">
      <c r="A410" s="83"/>
      <c r="B410" s="84"/>
    </row>
    <row r="411">
      <c r="A411" s="83"/>
      <c r="B411" s="84"/>
    </row>
    <row r="412">
      <c r="A412" s="83"/>
      <c r="B412" s="84"/>
    </row>
    <row r="413">
      <c r="A413" s="83"/>
      <c r="B413" s="84"/>
    </row>
    <row r="414">
      <c r="A414" s="83"/>
      <c r="B414" s="84"/>
    </row>
    <row r="415">
      <c r="A415" s="83"/>
      <c r="B415" s="84"/>
    </row>
    <row r="416">
      <c r="A416" s="83"/>
      <c r="B416" s="84"/>
    </row>
    <row r="417">
      <c r="A417" s="83"/>
      <c r="B417" s="84"/>
    </row>
    <row r="418">
      <c r="A418" s="83"/>
      <c r="B418" s="84"/>
    </row>
    <row r="419">
      <c r="A419" s="83"/>
      <c r="B419" s="84"/>
    </row>
    <row r="420">
      <c r="A420" s="83"/>
      <c r="B420" s="84"/>
    </row>
    <row r="421">
      <c r="A421" s="83"/>
      <c r="B421" s="84"/>
    </row>
    <row r="422">
      <c r="A422" s="83"/>
      <c r="B422" s="84"/>
    </row>
    <row r="423">
      <c r="A423" s="83"/>
      <c r="B423" s="84"/>
    </row>
    <row r="424">
      <c r="A424" s="83"/>
      <c r="B424" s="84"/>
    </row>
    <row r="425">
      <c r="A425" s="83"/>
      <c r="B425" s="84"/>
    </row>
    <row r="426">
      <c r="A426" s="83"/>
      <c r="B426" s="84"/>
    </row>
    <row r="427">
      <c r="A427" s="83"/>
      <c r="B427" s="84"/>
    </row>
    <row r="428">
      <c r="A428" s="83"/>
      <c r="B428" s="84"/>
    </row>
    <row r="429">
      <c r="A429" s="83"/>
      <c r="B429" s="84"/>
    </row>
    <row r="430">
      <c r="A430" s="83"/>
      <c r="B430" s="84"/>
    </row>
    <row r="431">
      <c r="A431" s="83"/>
      <c r="B431" s="84"/>
    </row>
    <row r="432">
      <c r="A432" s="83"/>
      <c r="B432" s="84"/>
    </row>
    <row r="433">
      <c r="A433" s="83"/>
      <c r="B433" s="84"/>
    </row>
    <row r="434">
      <c r="A434" s="83"/>
      <c r="B434" s="84"/>
    </row>
    <row r="435">
      <c r="A435" s="83"/>
      <c r="B435" s="84"/>
    </row>
    <row r="436">
      <c r="A436" s="83"/>
      <c r="B436" s="84"/>
    </row>
    <row r="437">
      <c r="A437" s="83"/>
      <c r="B437" s="84"/>
    </row>
    <row r="438">
      <c r="A438" s="83"/>
      <c r="B438" s="84"/>
    </row>
    <row r="439">
      <c r="A439" s="83"/>
      <c r="B439" s="84"/>
    </row>
    <row r="440">
      <c r="A440" s="83"/>
      <c r="B440" s="84"/>
    </row>
    <row r="441">
      <c r="A441" s="83"/>
      <c r="B441" s="84"/>
    </row>
    <row r="442">
      <c r="A442" s="83"/>
      <c r="B442" s="84"/>
    </row>
    <row r="443">
      <c r="A443" s="83"/>
      <c r="B443" s="84"/>
    </row>
    <row r="444">
      <c r="A444" s="83"/>
      <c r="B444" s="84"/>
    </row>
    <row r="445">
      <c r="A445" s="83"/>
      <c r="B445" s="84"/>
    </row>
    <row r="446">
      <c r="A446" s="83"/>
      <c r="B446" s="84"/>
    </row>
    <row r="447">
      <c r="A447" s="83"/>
      <c r="B447" s="84"/>
    </row>
    <row r="448">
      <c r="A448" s="83"/>
      <c r="B448" s="84"/>
    </row>
    <row r="449">
      <c r="A449" s="83"/>
      <c r="B449" s="84"/>
    </row>
    <row r="450">
      <c r="A450" s="83"/>
      <c r="B450" s="84"/>
    </row>
    <row r="451">
      <c r="A451" s="83"/>
      <c r="B451" s="84"/>
    </row>
    <row r="452">
      <c r="A452" s="83"/>
      <c r="B452" s="84"/>
    </row>
    <row r="453">
      <c r="A453" s="83"/>
      <c r="B453" s="84"/>
    </row>
    <row r="454">
      <c r="A454" s="83"/>
      <c r="B454" s="84"/>
    </row>
    <row r="455">
      <c r="A455" s="83"/>
      <c r="B455" s="84"/>
    </row>
    <row r="456">
      <c r="A456" s="83"/>
      <c r="B456" s="84"/>
    </row>
    <row r="457">
      <c r="A457" s="83"/>
      <c r="B457" s="84"/>
    </row>
    <row r="458">
      <c r="A458" s="83"/>
      <c r="B458" s="84"/>
    </row>
    <row r="459">
      <c r="A459" s="83"/>
      <c r="B459" s="84"/>
    </row>
    <row r="460">
      <c r="A460" s="83"/>
      <c r="B460" s="84"/>
    </row>
    <row r="461">
      <c r="A461" s="83"/>
      <c r="B461" s="84"/>
    </row>
    <row r="462">
      <c r="A462" s="83"/>
      <c r="B462" s="84"/>
    </row>
    <row r="463">
      <c r="A463" s="83"/>
      <c r="B463" s="84"/>
    </row>
    <row r="464">
      <c r="A464" s="83"/>
      <c r="B464" s="84"/>
    </row>
    <row r="465">
      <c r="A465" s="83"/>
      <c r="B465" s="84"/>
    </row>
    <row r="466">
      <c r="A466" s="83"/>
      <c r="B466" s="84"/>
    </row>
    <row r="467">
      <c r="A467" s="83"/>
      <c r="B467" s="84"/>
    </row>
    <row r="468">
      <c r="A468" s="83"/>
      <c r="B468" s="84"/>
    </row>
    <row r="469">
      <c r="A469" s="83"/>
      <c r="B469" s="84"/>
    </row>
    <row r="470">
      <c r="A470" s="83"/>
      <c r="B470" s="84"/>
    </row>
    <row r="471">
      <c r="A471" s="83"/>
      <c r="B471" s="84"/>
    </row>
    <row r="472">
      <c r="A472" s="83"/>
      <c r="B472" s="84"/>
    </row>
    <row r="473">
      <c r="A473" s="83"/>
      <c r="B473" s="84"/>
    </row>
    <row r="474">
      <c r="A474" s="83"/>
      <c r="B474" s="84"/>
    </row>
    <row r="475">
      <c r="A475" s="83"/>
      <c r="B475" s="84"/>
    </row>
    <row r="476">
      <c r="A476" s="83"/>
      <c r="B476" s="84"/>
    </row>
    <row r="477">
      <c r="A477" s="83"/>
      <c r="B477" s="84"/>
    </row>
    <row r="478">
      <c r="A478" s="83"/>
      <c r="B478" s="84"/>
    </row>
    <row r="479">
      <c r="A479" s="83"/>
      <c r="B479" s="84"/>
    </row>
    <row r="480">
      <c r="A480" s="83"/>
      <c r="B480" s="84"/>
    </row>
    <row r="481">
      <c r="A481" s="83"/>
      <c r="B481" s="84"/>
    </row>
    <row r="482">
      <c r="A482" s="83"/>
      <c r="B482" s="84"/>
    </row>
    <row r="483">
      <c r="A483" s="83"/>
      <c r="B483" s="84"/>
    </row>
    <row r="484">
      <c r="A484" s="83"/>
      <c r="B484" s="84"/>
    </row>
    <row r="485">
      <c r="A485" s="83"/>
      <c r="B485" s="84"/>
    </row>
    <row r="486">
      <c r="A486" s="83"/>
      <c r="B486" s="84"/>
    </row>
    <row r="487">
      <c r="A487" s="83"/>
      <c r="B487" s="84"/>
    </row>
    <row r="488">
      <c r="A488" s="83"/>
      <c r="B488" s="84"/>
    </row>
    <row r="489">
      <c r="A489" s="83"/>
      <c r="B489" s="84"/>
    </row>
    <row r="490">
      <c r="A490" s="83"/>
      <c r="B490" s="84"/>
    </row>
    <row r="491">
      <c r="A491" s="83"/>
      <c r="B491" s="84"/>
    </row>
    <row r="492">
      <c r="A492" s="83"/>
      <c r="B492" s="84"/>
    </row>
    <row r="493">
      <c r="A493" s="83"/>
      <c r="B493" s="84"/>
    </row>
    <row r="494">
      <c r="A494" s="83"/>
      <c r="B494" s="84"/>
    </row>
    <row r="495">
      <c r="A495" s="83"/>
      <c r="B495" s="84"/>
    </row>
    <row r="496">
      <c r="A496" s="83"/>
      <c r="B496" s="84"/>
    </row>
    <row r="497">
      <c r="A497" s="83"/>
      <c r="B497" s="84"/>
    </row>
    <row r="498">
      <c r="A498" s="83"/>
      <c r="B498" s="84"/>
    </row>
    <row r="499">
      <c r="A499" s="83"/>
      <c r="B499" s="84"/>
    </row>
    <row r="500">
      <c r="A500" s="83"/>
      <c r="B500" s="84"/>
    </row>
    <row r="501">
      <c r="A501" s="83"/>
      <c r="B501" s="84"/>
    </row>
    <row r="502">
      <c r="A502" s="83"/>
      <c r="B502" s="84"/>
    </row>
    <row r="503">
      <c r="A503" s="83"/>
      <c r="B503" s="84"/>
    </row>
    <row r="504">
      <c r="A504" s="83"/>
      <c r="B504" s="84"/>
    </row>
    <row r="505">
      <c r="A505" s="83"/>
      <c r="B505" s="84"/>
    </row>
    <row r="506">
      <c r="A506" s="83"/>
      <c r="B506" s="84"/>
    </row>
    <row r="507">
      <c r="A507" s="83"/>
      <c r="B507" s="84"/>
    </row>
    <row r="508">
      <c r="A508" s="83"/>
      <c r="B508" s="84"/>
    </row>
    <row r="509">
      <c r="A509" s="83"/>
      <c r="B509" s="84"/>
    </row>
    <row r="510">
      <c r="A510" s="83"/>
      <c r="B510" s="84"/>
    </row>
    <row r="511">
      <c r="A511" s="83"/>
      <c r="B511" s="84"/>
    </row>
    <row r="512">
      <c r="A512" s="83"/>
      <c r="B512" s="84"/>
    </row>
    <row r="513">
      <c r="A513" s="83"/>
      <c r="B513" s="84"/>
    </row>
    <row r="514">
      <c r="A514" s="83"/>
      <c r="B514" s="84"/>
    </row>
    <row r="515">
      <c r="A515" s="83"/>
      <c r="B515" s="84"/>
    </row>
    <row r="516">
      <c r="A516" s="83"/>
      <c r="B516" s="84"/>
    </row>
    <row r="517">
      <c r="A517" s="83"/>
      <c r="B517" s="84"/>
    </row>
    <row r="518">
      <c r="A518" s="83"/>
      <c r="B518" s="84"/>
    </row>
    <row r="519">
      <c r="A519" s="83"/>
      <c r="B519" s="84"/>
    </row>
    <row r="520">
      <c r="A520" s="83"/>
      <c r="B520" s="84"/>
    </row>
    <row r="521">
      <c r="A521" s="83"/>
      <c r="B521" s="84"/>
    </row>
    <row r="522">
      <c r="A522" s="83"/>
      <c r="B522" s="84"/>
    </row>
    <row r="523">
      <c r="A523" s="83"/>
      <c r="B523" s="84"/>
    </row>
    <row r="524">
      <c r="A524" s="83"/>
      <c r="B524" s="84"/>
    </row>
    <row r="525">
      <c r="A525" s="83"/>
      <c r="B525" s="84"/>
    </row>
    <row r="526">
      <c r="A526" s="83"/>
      <c r="B526" s="84"/>
    </row>
    <row r="527">
      <c r="A527" s="83"/>
      <c r="B527" s="84"/>
    </row>
    <row r="528">
      <c r="A528" s="83"/>
      <c r="B528" s="84"/>
    </row>
    <row r="529">
      <c r="A529" s="83"/>
      <c r="B529" s="84"/>
    </row>
    <row r="530">
      <c r="A530" s="83"/>
      <c r="B530" s="84"/>
    </row>
    <row r="531">
      <c r="A531" s="83"/>
      <c r="B531" s="84"/>
    </row>
    <row r="532">
      <c r="A532" s="83"/>
      <c r="B532" s="84"/>
    </row>
    <row r="533">
      <c r="A533" s="83"/>
      <c r="B533" s="84"/>
    </row>
    <row r="534">
      <c r="A534" s="83"/>
      <c r="B534" s="84"/>
    </row>
    <row r="535">
      <c r="A535" s="83"/>
      <c r="B535" s="84"/>
    </row>
    <row r="536">
      <c r="A536" s="83"/>
      <c r="B536" s="84"/>
    </row>
    <row r="537">
      <c r="A537" s="83"/>
      <c r="B537" s="84"/>
    </row>
    <row r="538">
      <c r="A538" s="83"/>
      <c r="B538" s="84"/>
    </row>
    <row r="539">
      <c r="A539" s="83"/>
      <c r="B539" s="84"/>
    </row>
    <row r="540">
      <c r="A540" s="83"/>
      <c r="B540" s="84"/>
    </row>
    <row r="541">
      <c r="A541" s="83"/>
      <c r="B541" s="84"/>
    </row>
    <row r="542">
      <c r="A542" s="83"/>
      <c r="B542" s="84"/>
    </row>
    <row r="543">
      <c r="A543" s="83"/>
      <c r="B543" s="84"/>
    </row>
    <row r="544">
      <c r="A544" s="83"/>
      <c r="B544" s="84"/>
    </row>
    <row r="545">
      <c r="A545" s="83"/>
      <c r="B545" s="84"/>
    </row>
    <row r="546">
      <c r="A546" s="83"/>
      <c r="B546" s="84"/>
    </row>
    <row r="547">
      <c r="A547" s="83"/>
      <c r="B547" s="84"/>
    </row>
    <row r="548">
      <c r="A548" s="83"/>
      <c r="B548" s="84"/>
    </row>
    <row r="549">
      <c r="A549" s="83"/>
      <c r="B549" s="84"/>
    </row>
    <row r="550">
      <c r="A550" s="83"/>
      <c r="B550" s="84"/>
    </row>
    <row r="551">
      <c r="A551" s="83"/>
      <c r="B551" s="84"/>
    </row>
    <row r="552">
      <c r="A552" s="83"/>
      <c r="B552" s="84"/>
    </row>
    <row r="553">
      <c r="A553" s="83"/>
      <c r="B553" s="84"/>
    </row>
    <row r="554">
      <c r="A554" s="83"/>
      <c r="B554" s="84"/>
    </row>
    <row r="555">
      <c r="A555" s="83"/>
      <c r="B555" s="84"/>
    </row>
    <row r="556">
      <c r="A556" s="83"/>
      <c r="B556" s="84"/>
    </row>
    <row r="557">
      <c r="A557" s="83"/>
      <c r="B557" s="84"/>
    </row>
    <row r="558">
      <c r="A558" s="83"/>
      <c r="B558" s="84"/>
    </row>
    <row r="559">
      <c r="A559" s="83"/>
      <c r="B559" s="84"/>
    </row>
    <row r="560">
      <c r="A560" s="83"/>
      <c r="B560" s="84"/>
    </row>
    <row r="561">
      <c r="A561" s="83"/>
      <c r="B561" s="84"/>
    </row>
    <row r="562">
      <c r="A562" s="83"/>
      <c r="B562" s="84"/>
    </row>
    <row r="563">
      <c r="A563" s="83"/>
      <c r="B563" s="84"/>
    </row>
    <row r="564">
      <c r="A564" s="83"/>
      <c r="B564" s="84"/>
    </row>
    <row r="565">
      <c r="A565" s="83"/>
      <c r="B565" s="84"/>
    </row>
    <row r="566">
      <c r="A566" s="83"/>
      <c r="B566" s="84"/>
    </row>
    <row r="567">
      <c r="A567" s="83"/>
      <c r="B567" s="84"/>
    </row>
    <row r="568">
      <c r="A568" s="83"/>
      <c r="B568" s="84"/>
    </row>
    <row r="569">
      <c r="A569" s="83"/>
      <c r="B569" s="84"/>
    </row>
    <row r="570">
      <c r="A570" s="83"/>
      <c r="B570" s="84"/>
    </row>
    <row r="571">
      <c r="A571" s="83"/>
      <c r="B571" s="84"/>
    </row>
    <row r="572">
      <c r="A572" s="83"/>
      <c r="B572" s="84"/>
    </row>
    <row r="573">
      <c r="A573" s="83"/>
      <c r="B573" s="84"/>
    </row>
    <row r="574">
      <c r="A574" s="83"/>
      <c r="B574" s="84"/>
    </row>
    <row r="575">
      <c r="A575" s="83"/>
      <c r="B575" s="84"/>
    </row>
    <row r="576">
      <c r="A576" s="83"/>
      <c r="B576" s="84"/>
    </row>
    <row r="577">
      <c r="A577" s="83"/>
      <c r="B577" s="84"/>
    </row>
    <row r="578">
      <c r="A578" s="83"/>
      <c r="B578" s="84"/>
    </row>
    <row r="579">
      <c r="A579" s="83"/>
      <c r="B579" s="84"/>
    </row>
    <row r="580">
      <c r="A580" s="83"/>
      <c r="B580" s="84"/>
    </row>
    <row r="581">
      <c r="A581" s="83"/>
      <c r="B581" s="84"/>
    </row>
    <row r="582">
      <c r="A582" s="83"/>
      <c r="B582" s="84"/>
    </row>
    <row r="583">
      <c r="A583" s="83"/>
      <c r="B583" s="84"/>
    </row>
    <row r="584">
      <c r="A584" s="83"/>
      <c r="B584" s="84"/>
    </row>
    <row r="585">
      <c r="A585" s="83"/>
      <c r="B585" s="84"/>
    </row>
    <row r="586">
      <c r="A586" s="83"/>
      <c r="B586" s="84"/>
    </row>
    <row r="587">
      <c r="A587" s="83"/>
      <c r="B587" s="84"/>
    </row>
    <row r="588">
      <c r="A588" s="83"/>
      <c r="B588" s="84"/>
    </row>
    <row r="589">
      <c r="A589" s="83"/>
      <c r="B589" s="84"/>
    </row>
    <row r="590">
      <c r="A590" s="83"/>
      <c r="B590" s="84"/>
    </row>
    <row r="591">
      <c r="A591" s="83"/>
      <c r="B591" s="84"/>
    </row>
    <row r="592">
      <c r="A592" s="83"/>
      <c r="B592" s="84"/>
    </row>
    <row r="593">
      <c r="A593" s="83"/>
      <c r="B593" s="84"/>
    </row>
    <row r="594">
      <c r="A594" s="83"/>
      <c r="B594" s="84"/>
    </row>
    <row r="595">
      <c r="A595" s="83"/>
      <c r="B595" s="84"/>
    </row>
    <row r="596">
      <c r="A596" s="83"/>
      <c r="B596" s="84"/>
    </row>
    <row r="597">
      <c r="A597" s="83"/>
      <c r="B597" s="84"/>
    </row>
    <row r="598">
      <c r="A598" s="83"/>
      <c r="B598" s="84"/>
    </row>
    <row r="599">
      <c r="A599" s="83"/>
      <c r="B599" s="84"/>
    </row>
    <row r="600">
      <c r="A600" s="83"/>
      <c r="B600" s="84"/>
    </row>
    <row r="601">
      <c r="A601" s="83"/>
      <c r="B601" s="84"/>
    </row>
    <row r="602">
      <c r="A602" s="83"/>
      <c r="B602" s="84"/>
    </row>
    <row r="603">
      <c r="A603" s="83"/>
      <c r="B603" s="84"/>
    </row>
    <row r="604">
      <c r="A604" s="83"/>
      <c r="B604" s="84"/>
    </row>
    <row r="605">
      <c r="A605" s="83"/>
      <c r="B605" s="84"/>
    </row>
    <row r="606">
      <c r="A606" s="83"/>
      <c r="B606" s="84"/>
    </row>
    <row r="607">
      <c r="A607" s="83"/>
      <c r="B607" s="84"/>
    </row>
    <row r="608">
      <c r="A608" s="83"/>
      <c r="B608" s="84"/>
    </row>
    <row r="609">
      <c r="A609" s="83"/>
      <c r="B609" s="84"/>
    </row>
    <row r="610">
      <c r="A610" s="83"/>
      <c r="B610" s="84"/>
    </row>
    <row r="611">
      <c r="A611" s="83"/>
      <c r="B611" s="84"/>
    </row>
    <row r="612">
      <c r="A612" s="83"/>
      <c r="B612" s="84"/>
    </row>
    <row r="613">
      <c r="A613" s="83"/>
      <c r="B613" s="84"/>
    </row>
    <row r="614">
      <c r="A614" s="83"/>
      <c r="B614" s="84"/>
    </row>
    <row r="615">
      <c r="A615" s="83"/>
      <c r="B615" s="84"/>
    </row>
    <row r="616">
      <c r="A616" s="83"/>
      <c r="B616" s="84"/>
    </row>
    <row r="617">
      <c r="A617" s="83"/>
      <c r="B617" s="84"/>
    </row>
    <row r="618">
      <c r="A618" s="83"/>
      <c r="B618" s="84"/>
    </row>
    <row r="619">
      <c r="A619" s="83"/>
      <c r="B619" s="84"/>
    </row>
    <row r="620">
      <c r="A620" s="83"/>
      <c r="B620" s="84"/>
    </row>
    <row r="621">
      <c r="A621" s="83"/>
      <c r="B621" s="84"/>
    </row>
    <row r="622">
      <c r="A622" s="83"/>
      <c r="B622" s="84"/>
    </row>
    <row r="623">
      <c r="A623" s="83"/>
      <c r="B623" s="84"/>
    </row>
    <row r="624">
      <c r="A624" s="83"/>
      <c r="B624" s="84"/>
    </row>
    <row r="625">
      <c r="A625" s="83"/>
      <c r="B625" s="84"/>
    </row>
    <row r="626">
      <c r="A626" s="83"/>
      <c r="B626" s="84"/>
    </row>
    <row r="627">
      <c r="A627" s="83"/>
      <c r="B627" s="84"/>
    </row>
    <row r="628">
      <c r="A628" s="83"/>
      <c r="B628" s="84"/>
    </row>
    <row r="629">
      <c r="A629" s="83"/>
      <c r="B629" s="84"/>
    </row>
    <row r="630">
      <c r="A630" s="83"/>
      <c r="B630" s="84"/>
    </row>
    <row r="631">
      <c r="A631" s="83"/>
      <c r="B631" s="84"/>
    </row>
    <row r="632">
      <c r="A632" s="83"/>
      <c r="B632" s="84"/>
    </row>
    <row r="633">
      <c r="A633" s="83"/>
      <c r="B633" s="84"/>
    </row>
    <row r="634">
      <c r="A634" s="83"/>
      <c r="B634" s="84"/>
    </row>
    <row r="635">
      <c r="A635" s="83"/>
      <c r="B635" s="84"/>
    </row>
    <row r="636">
      <c r="A636" s="83"/>
      <c r="B636" s="84"/>
    </row>
    <row r="637">
      <c r="A637" s="83"/>
      <c r="B637" s="84"/>
    </row>
    <row r="638">
      <c r="A638" s="83"/>
      <c r="B638" s="84"/>
    </row>
    <row r="639">
      <c r="A639" s="83"/>
      <c r="B639" s="84"/>
    </row>
    <row r="640">
      <c r="A640" s="83"/>
      <c r="B640" s="84"/>
    </row>
    <row r="641">
      <c r="A641" s="83"/>
      <c r="B641" s="84"/>
    </row>
    <row r="642">
      <c r="A642" s="83"/>
      <c r="B642" s="84"/>
    </row>
    <row r="643">
      <c r="A643" s="83"/>
      <c r="B643" s="84"/>
    </row>
    <row r="644">
      <c r="A644" s="83"/>
      <c r="B644" s="84"/>
    </row>
    <row r="645">
      <c r="A645" s="83"/>
      <c r="B645" s="84"/>
    </row>
    <row r="646">
      <c r="A646" s="83"/>
      <c r="B646" s="84"/>
    </row>
    <row r="647">
      <c r="A647" s="83"/>
      <c r="B647" s="84"/>
    </row>
    <row r="648">
      <c r="A648" s="83"/>
      <c r="B648" s="84"/>
    </row>
    <row r="649">
      <c r="A649" s="83"/>
      <c r="B649" s="84"/>
    </row>
    <row r="650">
      <c r="A650" s="83"/>
      <c r="B650" s="84"/>
    </row>
    <row r="651">
      <c r="A651" s="83"/>
      <c r="B651" s="84"/>
    </row>
    <row r="652">
      <c r="A652" s="83"/>
      <c r="B652" s="84"/>
    </row>
    <row r="653">
      <c r="A653" s="83"/>
      <c r="B653" s="84"/>
    </row>
    <row r="654">
      <c r="A654" s="83"/>
      <c r="B654" s="84"/>
    </row>
    <row r="655">
      <c r="A655" s="83"/>
      <c r="B655" s="84"/>
    </row>
    <row r="656">
      <c r="A656" s="83"/>
      <c r="B656" s="84"/>
    </row>
    <row r="657">
      <c r="A657" s="83"/>
      <c r="B657" s="84"/>
    </row>
    <row r="658">
      <c r="A658" s="83"/>
      <c r="B658" s="84"/>
    </row>
    <row r="659">
      <c r="A659" s="83"/>
      <c r="B659" s="84"/>
    </row>
    <row r="660">
      <c r="A660" s="83"/>
      <c r="B660" s="84"/>
    </row>
    <row r="661">
      <c r="A661" s="83"/>
      <c r="B661" s="84"/>
    </row>
    <row r="662">
      <c r="A662" s="83"/>
      <c r="B662" s="84"/>
    </row>
    <row r="663">
      <c r="A663" s="83"/>
      <c r="B663" s="84"/>
    </row>
    <row r="664">
      <c r="A664" s="83"/>
      <c r="B664" s="84"/>
    </row>
    <row r="665">
      <c r="A665" s="83"/>
      <c r="B665" s="84"/>
    </row>
    <row r="666">
      <c r="A666" s="83"/>
      <c r="B666" s="84"/>
    </row>
    <row r="667">
      <c r="A667" s="83"/>
      <c r="B667" s="84"/>
    </row>
    <row r="668">
      <c r="A668" s="83"/>
      <c r="B668" s="84"/>
    </row>
    <row r="669">
      <c r="A669" s="83"/>
      <c r="B669" s="84"/>
    </row>
    <row r="670">
      <c r="A670" s="83"/>
      <c r="B670" s="84"/>
    </row>
    <row r="671">
      <c r="A671" s="83"/>
      <c r="B671" s="84"/>
    </row>
    <row r="672">
      <c r="A672" s="83"/>
      <c r="B672" s="84"/>
    </row>
    <row r="673">
      <c r="A673" s="83"/>
      <c r="B673" s="84"/>
    </row>
    <row r="674">
      <c r="A674" s="83"/>
      <c r="B674" s="84"/>
    </row>
    <row r="675">
      <c r="A675" s="83"/>
      <c r="B675" s="84"/>
    </row>
    <row r="676">
      <c r="A676" s="83"/>
      <c r="B676" s="84"/>
    </row>
    <row r="677">
      <c r="A677" s="83"/>
      <c r="B677" s="84"/>
    </row>
    <row r="678">
      <c r="A678" s="83"/>
      <c r="B678" s="84"/>
    </row>
    <row r="679">
      <c r="A679" s="83"/>
      <c r="B679" s="84"/>
    </row>
    <row r="680">
      <c r="A680" s="83"/>
      <c r="B680" s="84"/>
    </row>
    <row r="681">
      <c r="A681" s="83"/>
      <c r="B681" s="84"/>
    </row>
    <row r="682">
      <c r="A682" s="83"/>
      <c r="B682" s="84"/>
    </row>
    <row r="683">
      <c r="A683" s="83"/>
      <c r="B683" s="84"/>
    </row>
    <row r="684">
      <c r="A684" s="83"/>
      <c r="B684" s="84"/>
    </row>
    <row r="685">
      <c r="A685" s="83"/>
      <c r="B685" s="84"/>
    </row>
    <row r="686">
      <c r="A686" s="83"/>
      <c r="B686" s="84"/>
    </row>
    <row r="687">
      <c r="A687" s="83"/>
      <c r="B687" s="84"/>
    </row>
    <row r="688">
      <c r="A688" s="83"/>
      <c r="B688" s="84"/>
    </row>
    <row r="689">
      <c r="A689" s="83"/>
      <c r="B689" s="84"/>
    </row>
    <row r="690">
      <c r="A690" s="83"/>
      <c r="B690" s="84"/>
    </row>
    <row r="691">
      <c r="A691" s="83"/>
      <c r="B691" s="84"/>
    </row>
    <row r="692">
      <c r="A692" s="83"/>
      <c r="B692" s="84"/>
    </row>
    <row r="693">
      <c r="A693" s="83"/>
      <c r="B693" s="84"/>
    </row>
    <row r="694">
      <c r="A694" s="83"/>
      <c r="B694" s="84"/>
    </row>
    <row r="695">
      <c r="A695" s="83"/>
      <c r="B695" s="84"/>
    </row>
    <row r="696">
      <c r="A696" s="83"/>
      <c r="B696" s="84"/>
    </row>
    <row r="697">
      <c r="A697" s="83"/>
      <c r="B697" s="84"/>
    </row>
    <row r="698">
      <c r="A698" s="83"/>
      <c r="B698" s="84"/>
    </row>
    <row r="699">
      <c r="A699" s="83"/>
      <c r="B699" s="84"/>
    </row>
    <row r="700">
      <c r="A700" s="83"/>
      <c r="B700" s="84"/>
    </row>
    <row r="701">
      <c r="A701" s="83"/>
      <c r="B701" s="84"/>
    </row>
    <row r="702">
      <c r="A702" s="83"/>
      <c r="B702" s="84"/>
    </row>
    <row r="703">
      <c r="A703" s="83"/>
      <c r="B703" s="84"/>
    </row>
    <row r="704">
      <c r="A704" s="83"/>
      <c r="B704" s="84"/>
    </row>
    <row r="705">
      <c r="A705" s="83"/>
      <c r="B705" s="84"/>
    </row>
    <row r="706">
      <c r="A706" s="83"/>
      <c r="B706" s="84"/>
    </row>
    <row r="707">
      <c r="A707" s="83"/>
      <c r="B707" s="84"/>
    </row>
    <row r="708">
      <c r="A708" s="83"/>
      <c r="B708" s="84"/>
    </row>
    <row r="709">
      <c r="A709" s="83"/>
      <c r="B709" s="84"/>
    </row>
    <row r="710">
      <c r="A710" s="83"/>
      <c r="B710" s="84"/>
    </row>
    <row r="711">
      <c r="A711" s="83"/>
      <c r="B711" s="84"/>
    </row>
    <row r="712">
      <c r="A712" s="83"/>
      <c r="B712" s="84"/>
    </row>
    <row r="713">
      <c r="A713" s="83"/>
      <c r="B713" s="84"/>
    </row>
    <row r="714">
      <c r="A714" s="83"/>
      <c r="B714" s="84"/>
    </row>
    <row r="715">
      <c r="A715" s="83"/>
      <c r="B715" s="84"/>
    </row>
    <row r="716">
      <c r="A716" s="83"/>
      <c r="B716" s="84"/>
    </row>
    <row r="717">
      <c r="A717" s="83"/>
      <c r="B717" s="84"/>
    </row>
    <row r="718">
      <c r="A718" s="83"/>
      <c r="B718" s="84"/>
    </row>
    <row r="719">
      <c r="A719" s="83"/>
      <c r="B719" s="84"/>
    </row>
    <row r="720">
      <c r="A720" s="83"/>
      <c r="B720" s="84"/>
    </row>
    <row r="721">
      <c r="A721" s="83"/>
      <c r="B721" s="84"/>
    </row>
    <row r="722">
      <c r="A722" s="83"/>
      <c r="B722" s="84"/>
    </row>
    <row r="723">
      <c r="A723" s="83"/>
      <c r="B723" s="84"/>
    </row>
    <row r="724">
      <c r="A724" s="83"/>
      <c r="B724" s="84"/>
    </row>
    <row r="725">
      <c r="A725" s="83"/>
      <c r="B725" s="84"/>
    </row>
    <row r="726">
      <c r="A726" s="83"/>
      <c r="B726" s="84"/>
    </row>
    <row r="727">
      <c r="A727" s="83"/>
      <c r="B727" s="84"/>
    </row>
    <row r="728">
      <c r="A728" s="83"/>
      <c r="B728" s="84"/>
    </row>
    <row r="729">
      <c r="A729" s="83"/>
      <c r="B729" s="84"/>
    </row>
    <row r="730">
      <c r="A730" s="83"/>
      <c r="B730" s="84"/>
    </row>
    <row r="731">
      <c r="A731" s="83"/>
      <c r="B731" s="84"/>
    </row>
    <row r="732">
      <c r="A732" s="83"/>
      <c r="B732" s="84"/>
    </row>
    <row r="733">
      <c r="A733" s="83"/>
      <c r="B733" s="84"/>
    </row>
    <row r="734">
      <c r="A734" s="83"/>
      <c r="B734" s="84"/>
    </row>
    <row r="735">
      <c r="A735" s="83"/>
      <c r="B735" s="84"/>
    </row>
    <row r="736">
      <c r="A736" s="83"/>
      <c r="B736" s="84"/>
    </row>
    <row r="737">
      <c r="A737" s="83"/>
      <c r="B737" s="84"/>
    </row>
    <row r="738">
      <c r="A738" s="83"/>
      <c r="B738" s="84"/>
    </row>
    <row r="739">
      <c r="A739" s="83"/>
      <c r="B739" s="84"/>
    </row>
    <row r="740">
      <c r="A740" s="83"/>
      <c r="B740" s="84"/>
    </row>
    <row r="741">
      <c r="A741" s="83"/>
      <c r="B741" s="84"/>
    </row>
    <row r="742">
      <c r="A742" s="83"/>
      <c r="B742" s="84"/>
    </row>
    <row r="743">
      <c r="A743" s="83"/>
      <c r="B743" s="84"/>
    </row>
    <row r="744">
      <c r="A744" s="83"/>
      <c r="B744" s="84"/>
    </row>
    <row r="745">
      <c r="A745" s="83"/>
      <c r="B745" s="84"/>
    </row>
    <row r="746">
      <c r="A746" s="83"/>
      <c r="B746" s="84"/>
    </row>
    <row r="747">
      <c r="A747" s="83"/>
      <c r="B747" s="84"/>
    </row>
    <row r="748">
      <c r="A748" s="83"/>
      <c r="B748" s="84"/>
    </row>
    <row r="749">
      <c r="A749" s="83"/>
      <c r="B749" s="84"/>
    </row>
    <row r="750">
      <c r="A750" s="83"/>
      <c r="B750" s="84"/>
    </row>
    <row r="751">
      <c r="A751" s="83"/>
      <c r="B751" s="84"/>
    </row>
    <row r="752">
      <c r="A752" s="83"/>
      <c r="B752" s="84"/>
    </row>
    <row r="753">
      <c r="A753" s="83"/>
      <c r="B753" s="84"/>
    </row>
    <row r="754">
      <c r="A754" s="83"/>
      <c r="B754" s="84"/>
    </row>
    <row r="755">
      <c r="A755" s="83"/>
      <c r="B755" s="84"/>
    </row>
    <row r="756">
      <c r="A756" s="83"/>
      <c r="B756" s="84"/>
    </row>
    <row r="757">
      <c r="A757" s="83"/>
      <c r="B757" s="84"/>
    </row>
    <row r="758">
      <c r="A758" s="83"/>
      <c r="B758" s="84"/>
    </row>
    <row r="759">
      <c r="A759" s="83"/>
      <c r="B759" s="84"/>
    </row>
    <row r="760">
      <c r="A760" s="83"/>
      <c r="B760" s="84"/>
    </row>
    <row r="761">
      <c r="A761" s="83"/>
      <c r="B761" s="84"/>
    </row>
    <row r="762">
      <c r="A762" s="83"/>
      <c r="B762" s="84"/>
    </row>
    <row r="763">
      <c r="A763" s="83"/>
      <c r="B763" s="84"/>
    </row>
    <row r="764">
      <c r="A764" s="83"/>
      <c r="B764" s="84"/>
    </row>
    <row r="765">
      <c r="A765" s="83"/>
      <c r="B765" s="84"/>
    </row>
    <row r="766">
      <c r="A766" s="83"/>
      <c r="B766" s="84"/>
    </row>
    <row r="767">
      <c r="A767" s="83"/>
      <c r="B767" s="84"/>
    </row>
    <row r="768">
      <c r="A768" s="83"/>
      <c r="B768" s="84"/>
    </row>
    <row r="769">
      <c r="A769" s="83"/>
      <c r="B769" s="84"/>
    </row>
    <row r="770">
      <c r="A770" s="83"/>
      <c r="B770" s="84"/>
    </row>
    <row r="771">
      <c r="A771" s="83"/>
      <c r="B771" s="84"/>
    </row>
    <row r="772">
      <c r="A772" s="83"/>
      <c r="B772" s="84"/>
    </row>
    <row r="773">
      <c r="A773" s="83"/>
      <c r="B773" s="84"/>
    </row>
    <row r="774">
      <c r="A774" s="83"/>
      <c r="B774" s="84"/>
    </row>
    <row r="775">
      <c r="A775" s="83"/>
      <c r="B775" s="84"/>
    </row>
    <row r="776">
      <c r="A776" s="83"/>
      <c r="B776" s="84"/>
    </row>
    <row r="777">
      <c r="A777" s="83"/>
      <c r="B777" s="84"/>
    </row>
    <row r="778">
      <c r="A778" s="83"/>
      <c r="B778" s="84"/>
    </row>
    <row r="779">
      <c r="A779" s="83"/>
      <c r="B779" s="84"/>
    </row>
    <row r="780">
      <c r="A780" s="83"/>
      <c r="B780" s="84"/>
    </row>
    <row r="781">
      <c r="A781" s="83"/>
      <c r="B781" s="84"/>
    </row>
    <row r="782">
      <c r="A782" s="83"/>
      <c r="B782" s="84"/>
    </row>
    <row r="783">
      <c r="A783" s="83"/>
      <c r="B783" s="84"/>
    </row>
    <row r="784">
      <c r="A784" s="83"/>
      <c r="B784" s="84"/>
    </row>
    <row r="785">
      <c r="A785" s="83"/>
      <c r="B785" s="84"/>
    </row>
    <row r="786">
      <c r="A786" s="83"/>
      <c r="B786" s="84"/>
    </row>
    <row r="787">
      <c r="A787" s="83"/>
      <c r="B787" s="84"/>
    </row>
    <row r="788">
      <c r="A788" s="83"/>
      <c r="B788" s="84"/>
    </row>
    <row r="789">
      <c r="A789" s="83"/>
      <c r="B789" s="84"/>
    </row>
    <row r="790">
      <c r="A790" s="83"/>
      <c r="B790" s="84"/>
    </row>
    <row r="791">
      <c r="A791" s="83"/>
      <c r="B791" s="84"/>
    </row>
    <row r="792">
      <c r="A792" s="83"/>
      <c r="B792" s="84"/>
    </row>
    <row r="793">
      <c r="A793" s="83"/>
      <c r="B793" s="84"/>
    </row>
    <row r="794">
      <c r="A794" s="83"/>
      <c r="B794" s="84"/>
    </row>
    <row r="795">
      <c r="A795" s="83"/>
      <c r="B795" s="84"/>
    </row>
    <row r="796">
      <c r="A796" s="83"/>
      <c r="B796" s="84"/>
    </row>
    <row r="797">
      <c r="A797" s="83"/>
      <c r="B797" s="84"/>
    </row>
    <row r="798">
      <c r="A798" s="83"/>
      <c r="B798" s="84"/>
    </row>
    <row r="799">
      <c r="A799" s="83"/>
      <c r="B799" s="84"/>
    </row>
    <row r="800">
      <c r="A800" s="83"/>
      <c r="B800" s="84"/>
    </row>
    <row r="801">
      <c r="A801" s="83"/>
      <c r="B801" s="84"/>
    </row>
    <row r="802">
      <c r="A802" s="83"/>
      <c r="B802" s="84"/>
    </row>
    <row r="803">
      <c r="A803" s="83"/>
      <c r="B803" s="84"/>
    </row>
    <row r="804">
      <c r="A804" s="83"/>
      <c r="B804" s="84"/>
    </row>
    <row r="805">
      <c r="A805" s="83"/>
      <c r="B805" s="84"/>
    </row>
    <row r="806">
      <c r="A806" s="83"/>
      <c r="B806" s="84"/>
    </row>
    <row r="807">
      <c r="A807" s="83"/>
      <c r="B807" s="84"/>
    </row>
    <row r="808">
      <c r="A808" s="83"/>
      <c r="B808" s="84"/>
    </row>
    <row r="809">
      <c r="A809" s="83"/>
      <c r="B809" s="84"/>
    </row>
    <row r="810">
      <c r="A810" s="83"/>
      <c r="B810" s="84"/>
    </row>
    <row r="811">
      <c r="A811" s="83"/>
      <c r="B811" s="84"/>
    </row>
    <row r="812">
      <c r="A812" s="83"/>
      <c r="B812" s="84"/>
    </row>
    <row r="813">
      <c r="A813" s="83"/>
      <c r="B813" s="84"/>
    </row>
    <row r="814">
      <c r="A814" s="83"/>
      <c r="B814" s="84"/>
    </row>
    <row r="815">
      <c r="A815" s="83"/>
      <c r="B815" s="84"/>
    </row>
    <row r="816">
      <c r="A816" s="83"/>
      <c r="B816" s="84"/>
    </row>
    <row r="817">
      <c r="A817" s="83"/>
      <c r="B817" s="84"/>
    </row>
    <row r="818">
      <c r="A818" s="83"/>
      <c r="B818" s="84"/>
    </row>
    <row r="819">
      <c r="A819" s="83"/>
      <c r="B819" s="84"/>
    </row>
    <row r="820">
      <c r="A820" s="83"/>
      <c r="B820" s="84"/>
    </row>
    <row r="821">
      <c r="A821" s="83"/>
      <c r="B821" s="84"/>
    </row>
    <row r="822">
      <c r="A822" s="83"/>
      <c r="B822" s="84"/>
    </row>
    <row r="823">
      <c r="A823" s="83"/>
      <c r="B823" s="84"/>
    </row>
    <row r="824">
      <c r="A824" s="83"/>
      <c r="B824" s="84"/>
    </row>
    <row r="825">
      <c r="A825" s="83"/>
      <c r="B825" s="84"/>
    </row>
    <row r="826">
      <c r="A826" s="83"/>
      <c r="B826" s="84"/>
    </row>
    <row r="827">
      <c r="A827" s="83"/>
      <c r="B827" s="84"/>
    </row>
    <row r="828">
      <c r="A828" s="83"/>
      <c r="B828" s="84"/>
    </row>
    <row r="829">
      <c r="A829" s="83"/>
      <c r="B829" s="84"/>
    </row>
    <row r="830">
      <c r="A830" s="83"/>
      <c r="B830" s="84"/>
    </row>
    <row r="831">
      <c r="A831" s="83"/>
      <c r="B831" s="84"/>
    </row>
    <row r="832">
      <c r="A832" s="83"/>
      <c r="B832" s="84"/>
    </row>
    <row r="833">
      <c r="A833" s="83"/>
      <c r="B833" s="84"/>
    </row>
    <row r="834">
      <c r="A834" s="83"/>
      <c r="B834" s="84"/>
    </row>
    <row r="835">
      <c r="A835" s="83"/>
      <c r="B835" s="84"/>
    </row>
    <row r="836">
      <c r="A836" s="83"/>
      <c r="B836" s="84"/>
    </row>
    <row r="837">
      <c r="A837" s="83"/>
      <c r="B837" s="84"/>
    </row>
    <row r="838">
      <c r="A838" s="83"/>
      <c r="B838" s="84"/>
    </row>
    <row r="839">
      <c r="A839" s="83"/>
      <c r="B839" s="84"/>
    </row>
    <row r="840">
      <c r="A840" s="83"/>
      <c r="B840" s="84"/>
    </row>
    <row r="841">
      <c r="A841" s="83"/>
      <c r="B841" s="84"/>
    </row>
    <row r="842">
      <c r="A842" s="83"/>
      <c r="B842" s="84"/>
    </row>
    <row r="843">
      <c r="A843" s="83"/>
      <c r="B843" s="84"/>
    </row>
    <row r="844">
      <c r="A844" s="83"/>
      <c r="B844" s="84"/>
    </row>
    <row r="845">
      <c r="A845" s="83"/>
      <c r="B845" s="84"/>
    </row>
    <row r="846">
      <c r="A846" s="83"/>
      <c r="B846" s="84"/>
    </row>
    <row r="847">
      <c r="A847" s="83"/>
      <c r="B847" s="84"/>
    </row>
    <row r="848">
      <c r="A848" s="83"/>
      <c r="B848" s="84"/>
    </row>
    <row r="849">
      <c r="A849" s="83"/>
      <c r="B849" s="84"/>
    </row>
    <row r="850">
      <c r="A850" s="83"/>
      <c r="B850" s="84"/>
    </row>
    <row r="851">
      <c r="A851" s="83"/>
      <c r="B851" s="84"/>
    </row>
    <row r="852">
      <c r="A852" s="83"/>
      <c r="B852" s="84"/>
    </row>
    <row r="853">
      <c r="A853" s="83"/>
      <c r="B853" s="84"/>
    </row>
    <row r="854">
      <c r="A854" s="83"/>
      <c r="B854" s="84"/>
    </row>
    <row r="855">
      <c r="A855" s="83"/>
      <c r="B855" s="84"/>
    </row>
    <row r="856">
      <c r="A856" s="83"/>
      <c r="B856" s="84"/>
    </row>
    <row r="857">
      <c r="A857" s="83"/>
      <c r="B857" s="84"/>
    </row>
    <row r="858">
      <c r="A858" s="83"/>
      <c r="B858" s="84"/>
    </row>
    <row r="859">
      <c r="A859" s="83"/>
      <c r="B859" s="84"/>
    </row>
    <row r="860">
      <c r="A860" s="83"/>
      <c r="B860" s="84"/>
    </row>
    <row r="861">
      <c r="A861" s="83"/>
      <c r="B861" s="84"/>
    </row>
    <row r="862">
      <c r="A862" s="83"/>
      <c r="B862" s="84"/>
    </row>
    <row r="863">
      <c r="A863" s="83"/>
      <c r="B863" s="84"/>
    </row>
    <row r="864">
      <c r="A864" s="83"/>
      <c r="B864" s="84"/>
    </row>
    <row r="865">
      <c r="A865" s="83"/>
      <c r="B865" s="84"/>
    </row>
    <row r="866">
      <c r="A866" s="83"/>
      <c r="B866" s="84"/>
    </row>
    <row r="867">
      <c r="A867" s="83"/>
      <c r="B867" s="84"/>
    </row>
    <row r="868">
      <c r="A868" s="83"/>
      <c r="B868" s="84"/>
    </row>
    <row r="869">
      <c r="A869" s="83"/>
      <c r="B869" s="84"/>
    </row>
    <row r="870">
      <c r="A870" s="83"/>
      <c r="B870" s="84"/>
    </row>
    <row r="871">
      <c r="A871" s="83"/>
      <c r="B871" s="84"/>
    </row>
    <row r="872">
      <c r="A872" s="83"/>
      <c r="B872" s="84"/>
    </row>
    <row r="873">
      <c r="A873" s="83"/>
      <c r="B873" s="84"/>
    </row>
    <row r="874">
      <c r="A874" s="83"/>
      <c r="B874" s="84"/>
    </row>
    <row r="875">
      <c r="A875" s="83"/>
      <c r="B875" s="84"/>
    </row>
    <row r="876">
      <c r="A876" s="83"/>
      <c r="B876" s="84"/>
    </row>
    <row r="877">
      <c r="A877" s="83"/>
      <c r="B877" s="84"/>
    </row>
    <row r="878">
      <c r="A878" s="83"/>
      <c r="B878" s="84"/>
    </row>
    <row r="879">
      <c r="A879" s="83"/>
      <c r="B879" s="84"/>
    </row>
    <row r="880">
      <c r="A880" s="83"/>
      <c r="B880" s="84"/>
    </row>
    <row r="881">
      <c r="A881" s="83"/>
      <c r="B881" s="84"/>
    </row>
    <row r="882">
      <c r="A882" s="83"/>
      <c r="B882" s="84"/>
    </row>
    <row r="883">
      <c r="A883" s="83"/>
      <c r="B883" s="84"/>
    </row>
    <row r="884">
      <c r="A884" s="83"/>
      <c r="B884" s="84"/>
    </row>
    <row r="885">
      <c r="A885" s="83"/>
      <c r="B885" s="84"/>
    </row>
    <row r="886">
      <c r="A886" s="83"/>
      <c r="B886" s="84"/>
    </row>
    <row r="887">
      <c r="A887" s="83"/>
      <c r="B887" s="84"/>
    </row>
    <row r="888">
      <c r="A888" s="83"/>
      <c r="B888" s="84"/>
    </row>
    <row r="889">
      <c r="A889" s="83"/>
      <c r="B889" s="84"/>
    </row>
    <row r="890">
      <c r="A890" s="83"/>
      <c r="B890" s="84"/>
    </row>
    <row r="891">
      <c r="A891" s="83"/>
      <c r="B891" s="84"/>
    </row>
    <row r="892">
      <c r="A892" s="83"/>
      <c r="B892" s="84"/>
    </row>
    <row r="893">
      <c r="A893" s="83"/>
      <c r="B893" s="84"/>
    </row>
    <row r="894">
      <c r="A894" s="83"/>
      <c r="B894" s="84"/>
    </row>
    <row r="895">
      <c r="A895" s="83"/>
      <c r="B895" s="84"/>
    </row>
    <row r="896">
      <c r="A896" s="83"/>
      <c r="B896" s="84"/>
    </row>
    <row r="897">
      <c r="A897" s="83"/>
      <c r="B897" s="84"/>
    </row>
    <row r="898">
      <c r="A898" s="83"/>
      <c r="B898" s="84"/>
    </row>
    <row r="899">
      <c r="A899" s="83"/>
      <c r="B899" s="84"/>
    </row>
    <row r="900">
      <c r="A900" s="83"/>
      <c r="B900" s="84"/>
    </row>
    <row r="901">
      <c r="A901" s="83"/>
      <c r="B901" s="84"/>
    </row>
    <row r="902">
      <c r="A902" s="83"/>
      <c r="B902" s="84"/>
    </row>
    <row r="903">
      <c r="A903" s="83"/>
      <c r="B903" s="84"/>
    </row>
    <row r="904">
      <c r="A904" s="83"/>
      <c r="B904" s="84"/>
    </row>
    <row r="905">
      <c r="A905" s="83"/>
      <c r="B905" s="84"/>
    </row>
    <row r="906">
      <c r="A906" s="83"/>
      <c r="B906" s="84"/>
    </row>
    <row r="907">
      <c r="A907" s="83"/>
      <c r="B907" s="84"/>
    </row>
    <row r="908">
      <c r="A908" s="83"/>
      <c r="B908" s="84"/>
    </row>
    <row r="909">
      <c r="A909" s="83"/>
      <c r="B909" s="84"/>
    </row>
    <row r="910">
      <c r="A910" s="83"/>
      <c r="B910" s="84"/>
    </row>
    <row r="911">
      <c r="A911" s="83"/>
      <c r="B911" s="84"/>
    </row>
    <row r="912">
      <c r="A912" s="83"/>
      <c r="B912" s="84"/>
    </row>
    <row r="913">
      <c r="A913" s="83"/>
      <c r="B913" s="84"/>
    </row>
    <row r="914">
      <c r="A914" s="83"/>
      <c r="B914" s="84"/>
    </row>
    <row r="915">
      <c r="A915" s="83"/>
      <c r="B915" s="84"/>
    </row>
    <row r="916">
      <c r="A916" s="83"/>
      <c r="B916" s="84"/>
    </row>
    <row r="917">
      <c r="A917" s="83"/>
      <c r="B917" s="84"/>
    </row>
    <row r="918">
      <c r="A918" s="83"/>
      <c r="B918" s="84"/>
    </row>
    <row r="919">
      <c r="A919" s="83"/>
      <c r="B919" s="84"/>
    </row>
    <row r="920">
      <c r="A920" s="83"/>
      <c r="B920" s="84"/>
    </row>
    <row r="921">
      <c r="A921" s="83"/>
      <c r="B921" s="84"/>
    </row>
    <row r="922">
      <c r="A922" s="83"/>
      <c r="B922" s="84"/>
    </row>
    <row r="923">
      <c r="A923" s="83"/>
      <c r="B923" s="84"/>
    </row>
    <row r="924">
      <c r="A924" s="83"/>
      <c r="B924" s="84"/>
    </row>
    <row r="925">
      <c r="A925" s="83"/>
      <c r="B925" s="84"/>
    </row>
    <row r="926">
      <c r="A926" s="83"/>
      <c r="B926" s="84"/>
    </row>
    <row r="927">
      <c r="A927" s="83"/>
      <c r="B927" s="84"/>
    </row>
    <row r="928">
      <c r="A928" s="83"/>
      <c r="B928" s="84"/>
    </row>
    <row r="929">
      <c r="A929" s="83"/>
      <c r="B929" s="84"/>
    </row>
    <row r="930">
      <c r="A930" s="83"/>
      <c r="B930" s="84"/>
    </row>
    <row r="931">
      <c r="A931" s="83"/>
      <c r="B931" s="84"/>
    </row>
    <row r="932">
      <c r="A932" s="83"/>
      <c r="B932" s="84"/>
    </row>
    <row r="933">
      <c r="A933" s="83"/>
      <c r="B933" s="84"/>
    </row>
    <row r="934">
      <c r="A934" s="83"/>
      <c r="B934" s="84"/>
    </row>
    <row r="935">
      <c r="A935" s="83"/>
      <c r="B935" s="84"/>
    </row>
    <row r="936">
      <c r="A936" s="83"/>
      <c r="B936" s="84"/>
    </row>
    <row r="937">
      <c r="A937" s="83"/>
      <c r="B937" s="84"/>
    </row>
    <row r="938">
      <c r="A938" s="83"/>
      <c r="B938" s="84"/>
    </row>
    <row r="939">
      <c r="A939" s="83"/>
      <c r="B939" s="84"/>
    </row>
    <row r="940">
      <c r="A940" s="83"/>
      <c r="B940" s="84"/>
    </row>
    <row r="941">
      <c r="A941" s="83"/>
      <c r="B941" s="84"/>
    </row>
    <row r="942">
      <c r="A942" s="83"/>
      <c r="B942" s="84"/>
    </row>
    <row r="943">
      <c r="A943" s="83"/>
      <c r="B943" s="84"/>
    </row>
    <row r="944">
      <c r="A944" s="83"/>
      <c r="B944" s="84"/>
    </row>
    <row r="945">
      <c r="A945" s="83"/>
      <c r="B945" s="84"/>
    </row>
    <row r="946">
      <c r="A946" s="83"/>
      <c r="B946" s="84"/>
    </row>
    <row r="947">
      <c r="A947" s="83"/>
      <c r="B947" s="84"/>
    </row>
    <row r="948">
      <c r="A948" s="83"/>
      <c r="B948" s="84"/>
    </row>
    <row r="949">
      <c r="A949" s="83"/>
      <c r="B949" s="84"/>
    </row>
    <row r="950">
      <c r="A950" s="83"/>
      <c r="B950" s="84"/>
    </row>
    <row r="951">
      <c r="A951" s="83"/>
      <c r="B951" s="84"/>
    </row>
    <row r="952">
      <c r="A952" s="83"/>
      <c r="B952" s="84"/>
    </row>
    <row r="953">
      <c r="A953" s="83"/>
      <c r="B953" s="84"/>
    </row>
    <row r="954">
      <c r="A954" s="83"/>
      <c r="B954" s="84"/>
    </row>
    <row r="955">
      <c r="A955" s="83"/>
      <c r="B955" s="84"/>
    </row>
    <row r="956">
      <c r="A956" s="83"/>
      <c r="B956" s="84"/>
    </row>
    <row r="957">
      <c r="A957" s="83"/>
      <c r="B957" s="84"/>
    </row>
    <row r="958">
      <c r="A958" s="83"/>
      <c r="B958" s="84"/>
    </row>
    <row r="959">
      <c r="A959" s="83"/>
      <c r="B959" s="84"/>
    </row>
    <row r="960">
      <c r="A960" s="83"/>
      <c r="B960" s="84"/>
    </row>
    <row r="961">
      <c r="A961" s="83"/>
      <c r="B961" s="84"/>
    </row>
    <row r="962">
      <c r="A962" s="83"/>
      <c r="B962" s="84"/>
    </row>
    <row r="963">
      <c r="A963" s="83"/>
      <c r="B963" s="84"/>
    </row>
    <row r="964">
      <c r="A964" s="83"/>
      <c r="B964" s="84"/>
    </row>
    <row r="965">
      <c r="A965" s="83"/>
      <c r="B965" s="84"/>
    </row>
    <row r="966">
      <c r="A966" s="83"/>
      <c r="B966" s="84"/>
    </row>
    <row r="967">
      <c r="A967" s="83"/>
      <c r="B967" s="84"/>
    </row>
    <row r="968">
      <c r="A968" s="83"/>
      <c r="B968" s="84"/>
    </row>
    <row r="969">
      <c r="A969" s="83"/>
      <c r="B969" s="84"/>
    </row>
    <row r="970">
      <c r="A970" s="83"/>
      <c r="B970" s="84"/>
    </row>
    <row r="971">
      <c r="A971" s="83"/>
      <c r="B971" s="84"/>
    </row>
    <row r="972">
      <c r="A972" s="83"/>
      <c r="B972" s="84"/>
    </row>
    <row r="973">
      <c r="A973" s="83"/>
      <c r="B973" s="84"/>
    </row>
    <row r="974">
      <c r="A974" s="83"/>
      <c r="B974" s="84"/>
    </row>
    <row r="975">
      <c r="A975" s="83"/>
      <c r="B975" s="84"/>
    </row>
    <row r="976">
      <c r="A976" s="83"/>
      <c r="B976" s="84"/>
    </row>
    <row r="977">
      <c r="A977" s="83"/>
      <c r="B977" s="84"/>
    </row>
    <row r="978">
      <c r="A978" s="83"/>
      <c r="B978" s="84"/>
    </row>
    <row r="979">
      <c r="A979" s="83"/>
      <c r="B979" s="84"/>
    </row>
    <row r="980">
      <c r="A980" s="83"/>
      <c r="B980" s="84"/>
    </row>
    <row r="981">
      <c r="A981" s="83"/>
      <c r="B981" s="84"/>
    </row>
    <row r="982">
      <c r="A982" s="83"/>
      <c r="B982" s="84"/>
    </row>
    <row r="983">
      <c r="A983" s="83"/>
      <c r="B983" s="84"/>
    </row>
    <row r="984">
      <c r="A984" s="83"/>
      <c r="B984" s="84"/>
    </row>
    <row r="985">
      <c r="A985" s="83"/>
      <c r="B985" s="84"/>
    </row>
    <row r="986">
      <c r="A986" s="83"/>
      <c r="B986" s="84"/>
    </row>
    <row r="987">
      <c r="A987" s="83"/>
      <c r="B987" s="84"/>
    </row>
    <row r="988">
      <c r="A988" s="83"/>
      <c r="B988" s="84"/>
    </row>
    <row r="989">
      <c r="A989" s="83"/>
      <c r="B989" s="84"/>
    </row>
    <row r="990">
      <c r="A990" s="83"/>
      <c r="B990" s="84"/>
    </row>
    <row r="991">
      <c r="A991" s="83"/>
      <c r="B991" s="84"/>
    </row>
    <row r="992">
      <c r="A992" s="83"/>
      <c r="B992" s="84"/>
    </row>
    <row r="993">
      <c r="A993" s="83"/>
      <c r="B993" s="84"/>
    </row>
    <row r="994">
      <c r="A994" s="83"/>
      <c r="B994" s="84"/>
    </row>
    <row r="995">
      <c r="A995" s="83"/>
      <c r="B995" s="84"/>
    </row>
    <row r="996">
      <c r="A996" s="83"/>
      <c r="B996" s="84"/>
    </row>
    <row r="997">
      <c r="A997" s="83"/>
      <c r="B997" s="84"/>
    </row>
    <row r="998">
      <c r="A998" s="83"/>
      <c r="B998" s="84"/>
    </row>
    <row r="999">
      <c r="A999" s="83"/>
      <c r="B999" s="84"/>
    </row>
    <row r="1000">
      <c r="A1000" s="83"/>
      <c r="B1000" s="8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11.0"/>
    <col customWidth="1" min="3" max="3" width="39.57"/>
  </cols>
  <sheetData>
    <row r="1">
      <c r="A1" s="85" t="s">
        <v>1637</v>
      </c>
      <c r="B1" s="85" t="s">
        <v>1638</v>
      </c>
      <c r="C1" s="85" t="s">
        <v>1639</v>
      </c>
    </row>
    <row r="2">
      <c r="A2" s="86" t="s">
        <v>1640</v>
      </c>
      <c r="B2" s="87" t="s">
        <v>1641</v>
      </c>
      <c r="C2" s="88"/>
    </row>
    <row r="3">
      <c r="A3" s="89" t="s">
        <v>1642</v>
      </c>
      <c r="B3" s="90" t="s">
        <v>1643</v>
      </c>
      <c r="C3" s="91"/>
    </row>
    <row r="4">
      <c r="A4" s="86" t="s">
        <v>1644</v>
      </c>
      <c r="B4" s="87" t="s">
        <v>1645</v>
      </c>
      <c r="C4" s="88"/>
    </row>
    <row r="5">
      <c r="A5" s="92" t="s">
        <v>1646</v>
      </c>
      <c r="B5" s="93" t="s">
        <v>1647</v>
      </c>
      <c r="C5" s="94"/>
    </row>
    <row r="6">
      <c r="A6" s="86" t="s">
        <v>1648</v>
      </c>
      <c r="B6" s="87" t="s">
        <v>1649</v>
      </c>
      <c r="C6" s="87" t="s">
        <v>1650</v>
      </c>
    </row>
    <row r="7">
      <c r="A7" s="92" t="s">
        <v>1651</v>
      </c>
      <c r="B7" s="93" t="s">
        <v>1652</v>
      </c>
      <c r="C7" s="95"/>
    </row>
    <row r="8">
      <c r="A8" s="86" t="s">
        <v>1653</v>
      </c>
      <c r="B8" s="87" t="s">
        <v>1654</v>
      </c>
      <c r="C8" s="88"/>
    </row>
    <row r="9">
      <c r="A9" s="92" t="s">
        <v>1655</v>
      </c>
      <c r="B9" s="93" t="s">
        <v>1656</v>
      </c>
      <c r="C9" s="95"/>
    </row>
    <row r="10">
      <c r="A10" s="86" t="s">
        <v>1657</v>
      </c>
      <c r="B10" s="87" t="s">
        <v>1658</v>
      </c>
      <c r="C10" s="88"/>
    </row>
    <row r="11">
      <c r="A11" s="92" t="s">
        <v>1659</v>
      </c>
      <c r="B11" s="93" t="s">
        <v>1660</v>
      </c>
      <c r="C11" s="95"/>
    </row>
    <row r="12">
      <c r="A12" s="96" t="s">
        <v>1661</v>
      </c>
      <c r="B12" s="97" t="s">
        <v>1662</v>
      </c>
      <c r="C12" s="98"/>
    </row>
    <row r="13">
      <c r="A13" s="92" t="s">
        <v>1663</v>
      </c>
      <c r="B13" s="93" t="s">
        <v>1664</v>
      </c>
      <c r="C13" s="95"/>
    </row>
    <row r="14">
      <c r="A14" s="86" t="s">
        <v>1665</v>
      </c>
      <c r="B14" s="87" t="s">
        <v>1666</v>
      </c>
      <c r="C14" s="99"/>
    </row>
    <row r="15">
      <c r="A15" s="92" t="s">
        <v>1667</v>
      </c>
      <c r="B15" s="93" t="s">
        <v>1668</v>
      </c>
      <c r="C15" s="93" t="s">
        <v>1669</v>
      </c>
    </row>
    <row r="16">
      <c r="A16" s="96" t="s">
        <v>1670</v>
      </c>
      <c r="B16" s="97" t="s">
        <v>1671</v>
      </c>
      <c r="C16" s="98"/>
    </row>
    <row r="17">
      <c r="A17" s="92" t="s">
        <v>1672</v>
      </c>
      <c r="B17" s="93" t="s">
        <v>1673</v>
      </c>
      <c r="C17" s="95"/>
    </row>
    <row r="18">
      <c r="A18" s="96" t="s">
        <v>1674</v>
      </c>
      <c r="B18" s="97" t="s">
        <v>1675</v>
      </c>
      <c r="C18" s="98"/>
    </row>
    <row r="19">
      <c r="A19" s="92" t="s">
        <v>1676</v>
      </c>
      <c r="B19" s="93" t="s">
        <v>1677</v>
      </c>
      <c r="C19" s="95"/>
    </row>
    <row r="20">
      <c r="A20" s="86" t="s">
        <v>1678</v>
      </c>
      <c r="B20" s="87" t="s">
        <v>1679</v>
      </c>
      <c r="C20" s="88"/>
    </row>
    <row r="21">
      <c r="A21" s="92" t="s">
        <v>1680</v>
      </c>
      <c r="B21" s="93" t="s">
        <v>1681</v>
      </c>
      <c r="C21" s="95"/>
    </row>
    <row r="22">
      <c r="A22" s="86" t="s">
        <v>1682</v>
      </c>
      <c r="B22" s="87" t="s">
        <v>1683</v>
      </c>
      <c r="C22" s="99"/>
    </row>
    <row r="23">
      <c r="A23" s="92" t="s">
        <v>1684</v>
      </c>
      <c r="B23" s="93" t="s">
        <v>1685</v>
      </c>
      <c r="C23" s="93" t="s">
        <v>1686</v>
      </c>
    </row>
    <row r="24">
      <c r="A24" s="86" t="s">
        <v>1687</v>
      </c>
      <c r="B24" s="87" t="s">
        <v>1688</v>
      </c>
      <c r="C24" s="88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26" width="8.71"/>
  </cols>
  <sheetData>
    <row r="1" ht="25.5" customHeight="1">
      <c r="A1" s="100" t="s">
        <v>1689</v>
      </c>
      <c r="B1" s="101" t="s">
        <v>1690</v>
      </c>
    </row>
    <row r="2" ht="25.5" customHeight="1">
      <c r="A2" s="102" t="s">
        <v>16</v>
      </c>
      <c r="B2" s="103" t="s">
        <v>1691</v>
      </c>
    </row>
    <row r="3" ht="25.5" customHeight="1">
      <c r="A3" s="104" t="s">
        <v>46</v>
      </c>
      <c r="B3" s="105" t="s">
        <v>1692</v>
      </c>
    </row>
    <row r="4" ht="25.5" customHeight="1">
      <c r="A4" s="104" t="s">
        <v>66</v>
      </c>
      <c r="B4" s="105" t="s">
        <v>1693</v>
      </c>
    </row>
    <row r="5" ht="25.5" customHeight="1">
      <c r="A5" s="104" t="s">
        <v>57</v>
      </c>
      <c r="B5" s="106" t="s">
        <v>1694</v>
      </c>
    </row>
    <row r="6" ht="25.5" customHeight="1">
      <c r="A6" s="104" t="s">
        <v>42</v>
      </c>
      <c r="B6" s="107" t="s">
        <v>1695</v>
      </c>
    </row>
    <row r="7" ht="25.5" customHeight="1">
      <c r="A7" s="104" t="s">
        <v>28</v>
      </c>
      <c r="B7" s="105" t="s">
        <v>1696</v>
      </c>
    </row>
    <row r="8" ht="25.5" customHeight="1">
      <c r="A8" s="104" t="s">
        <v>73</v>
      </c>
      <c r="B8" s="105" t="s">
        <v>1697</v>
      </c>
    </row>
    <row r="9" ht="25.5" customHeight="1">
      <c r="A9" s="104" t="s">
        <v>63</v>
      </c>
      <c r="B9" s="105" t="s">
        <v>1698</v>
      </c>
    </row>
    <row r="10" ht="25.5" customHeight="1">
      <c r="A10" s="104" t="s">
        <v>50</v>
      </c>
      <c r="B10" s="105" t="s">
        <v>1699</v>
      </c>
    </row>
    <row r="11" ht="25.5" customHeight="1">
      <c r="A11" s="104" t="s">
        <v>35</v>
      </c>
      <c r="B11" s="108" t="s">
        <v>1700</v>
      </c>
    </row>
    <row r="12" ht="25.5" customHeight="1">
      <c r="A12" s="104" t="s">
        <v>32</v>
      </c>
      <c r="B12" s="105" t="s">
        <v>1701</v>
      </c>
    </row>
    <row r="13" ht="25.5" customHeight="1">
      <c r="A13" s="104" t="s">
        <v>53</v>
      </c>
      <c r="B13" s="107" t="s">
        <v>1702</v>
      </c>
    </row>
    <row r="14" ht="25.5" customHeight="1">
      <c r="A14" s="104" t="s">
        <v>76</v>
      </c>
      <c r="B14" s="109" t="s">
        <v>1703</v>
      </c>
    </row>
    <row r="15" ht="25.5" customHeight="1">
      <c r="A15" s="104" t="s">
        <v>24</v>
      </c>
      <c r="B15" s="107" t="s">
        <v>1704</v>
      </c>
    </row>
    <row r="16" ht="25.5" customHeight="1">
      <c r="A16" s="104" t="s">
        <v>1705</v>
      </c>
      <c r="B16" s="103" t="s">
        <v>1706</v>
      </c>
    </row>
    <row r="17" ht="25.5" customHeight="1">
      <c r="A17" s="104" t="s">
        <v>56</v>
      </c>
      <c r="B17" s="108" t="s">
        <v>1707</v>
      </c>
    </row>
    <row r="18" ht="25.5" customHeight="1">
      <c r="A18" s="104" t="s">
        <v>80</v>
      </c>
      <c r="B18" s="105" t="s">
        <v>1708</v>
      </c>
    </row>
    <row r="19" ht="25.5" customHeight="1">
      <c r="A19" s="110" t="s">
        <v>1709</v>
      </c>
      <c r="B19" s="111" t="s">
        <v>1710</v>
      </c>
    </row>
    <row r="20" ht="23.25" customHeight="1">
      <c r="A20" s="112" t="s">
        <v>87</v>
      </c>
      <c r="B20" s="113" t="s">
        <v>1711</v>
      </c>
    </row>
    <row r="21" ht="23.25" customHeight="1">
      <c r="A21" s="112" t="s">
        <v>84</v>
      </c>
      <c r="B21" s="113" t="s">
        <v>1712</v>
      </c>
    </row>
    <row r="22" ht="23.25" customHeight="1">
      <c r="A22" s="112" t="s">
        <v>90</v>
      </c>
      <c r="B22" s="113" t="s">
        <v>1713</v>
      </c>
    </row>
    <row r="23" ht="23.25" customHeight="1">
      <c r="B23" s="114"/>
    </row>
    <row r="24" ht="23.25" customHeight="1">
      <c r="B24" s="114"/>
    </row>
    <row r="25" ht="23.25" customHeight="1">
      <c r="B25" s="114"/>
    </row>
    <row r="26" ht="23.25" customHeight="1">
      <c r="B26" s="114"/>
    </row>
    <row r="27" ht="23.25" customHeight="1">
      <c r="B27" s="114"/>
    </row>
    <row r="28" ht="23.25" customHeight="1">
      <c r="B28" s="114"/>
    </row>
    <row r="29" ht="23.25" customHeight="1">
      <c r="B29" s="114"/>
    </row>
    <row r="30" ht="23.25" customHeight="1">
      <c r="B30" s="114"/>
    </row>
    <row r="31" ht="23.25" customHeight="1">
      <c r="B31" s="114"/>
    </row>
    <row r="32" ht="23.25" customHeight="1">
      <c r="B32" s="114"/>
    </row>
    <row r="33" ht="23.25" customHeight="1">
      <c r="B33" s="114"/>
    </row>
    <row r="34" ht="23.25" customHeight="1">
      <c r="B34" s="114"/>
    </row>
    <row r="35" ht="23.25" customHeight="1">
      <c r="B35" s="114"/>
    </row>
    <row r="36" ht="23.25" customHeight="1">
      <c r="B36" s="114"/>
    </row>
    <row r="37" ht="23.25" customHeight="1">
      <c r="B37" s="114"/>
    </row>
    <row r="38" ht="23.25" customHeight="1">
      <c r="B38" s="114"/>
    </row>
    <row r="39" ht="23.25" customHeight="1">
      <c r="B39" s="114"/>
    </row>
    <row r="40" ht="23.25" customHeight="1">
      <c r="B40" s="114"/>
    </row>
    <row r="41" ht="23.25" customHeight="1">
      <c r="B41" s="114"/>
    </row>
    <row r="42" ht="23.25" customHeight="1">
      <c r="B42" s="114"/>
    </row>
    <row r="43" ht="23.25" customHeight="1">
      <c r="B43" s="114"/>
    </row>
    <row r="44" ht="23.25" customHeight="1">
      <c r="B44" s="114"/>
    </row>
    <row r="45" ht="23.25" customHeight="1">
      <c r="B45" s="114"/>
    </row>
    <row r="46" ht="23.25" customHeight="1">
      <c r="B46" s="114"/>
    </row>
    <row r="47" ht="23.25" customHeight="1">
      <c r="B47" s="114"/>
    </row>
    <row r="48" ht="23.25" customHeight="1">
      <c r="B48" s="114"/>
    </row>
    <row r="49" ht="23.25" customHeight="1">
      <c r="B49" s="114"/>
    </row>
    <row r="50" ht="23.25" customHeight="1">
      <c r="B50" s="114"/>
    </row>
    <row r="51" ht="23.25" customHeight="1">
      <c r="B51" s="114"/>
    </row>
    <row r="52" ht="23.25" customHeight="1">
      <c r="B52" s="114"/>
    </row>
    <row r="53" ht="23.25" customHeight="1">
      <c r="B53" s="114"/>
    </row>
    <row r="54" ht="23.25" customHeight="1">
      <c r="B54" s="114"/>
    </row>
    <row r="55" ht="23.25" customHeight="1">
      <c r="B55" s="114"/>
    </row>
    <row r="56" ht="23.25" customHeight="1">
      <c r="B56" s="114"/>
    </row>
    <row r="57" ht="23.25" customHeight="1">
      <c r="B57" s="114"/>
    </row>
    <row r="58" ht="23.25" customHeight="1">
      <c r="B58" s="114"/>
    </row>
    <row r="59" ht="23.25" customHeight="1">
      <c r="B59" s="114"/>
    </row>
    <row r="60" ht="23.25" customHeight="1">
      <c r="B60" s="114"/>
    </row>
    <row r="61" ht="23.25" customHeight="1">
      <c r="B61" s="114"/>
    </row>
    <row r="62" ht="23.25" customHeight="1">
      <c r="B62" s="114"/>
    </row>
    <row r="63" ht="23.25" customHeight="1">
      <c r="B63" s="114"/>
    </row>
    <row r="64" ht="23.25" customHeight="1">
      <c r="B64" s="114"/>
    </row>
    <row r="65" ht="23.25" customHeight="1">
      <c r="B65" s="114"/>
    </row>
    <row r="66" ht="23.25" customHeight="1">
      <c r="B66" s="114"/>
    </row>
    <row r="67" ht="23.25" customHeight="1">
      <c r="B67" s="114"/>
    </row>
    <row r="68" ht="23.25" customHeight="1">
      <c r="B68" s="114"/>
    </row>
    <row r="69" ht="23.25" customHeight="1">
      <c r="B69" s="114"/>
    </row>
    <row r="70" ht="23.25" customHeight="1">
      <c r="B70" s="114"/>
    </row>
    <row r="71" ht="23.25" customHeight="1">
      <c r="B71" s="114"/>
    </row>
    <row r="72" ht="23.25" customHeight="1">
      <c r="B72" s="114"/>
    </row>
    <row r="73" ht="23.25" customHeight="1">
      <c r="B73" s="114"/>
    </row>
    <row r="74" ht="23.25" customHeight="1">
      <c r="B74" s="114"/>
    </row>
    <row r="75" ht="23.25" customHeight="1">
      <c r="B75" s="114"/>
    </row>
    <row r="76" ht="23.25" customHeight="1">
      <c r="B76" s="114"/>
    </row>
    <row r="77" ht="23.25" customHeight="1">
      <c r="B77" s="114"/>
    </row>
    <row r="78" ht="23.25" customHeight="1">
      <c r="B78" s="114"/>
    </row>
    <row r="79" ht="23.25" customHeight="1">
      <c r="B79" s="114"/>
    </row>
    <row r="80" ht="23.25" customHeight="1">
      <c r="B80" s="114"/>
    </row>
    <row r="81" ht="23.25" customHeight="1">
      <c r="B81" s="114"/>
    </row>
    <row r="82" ht="23.25" customHeight="1">
      <c r="B82" s="114"/>
    </row>
    <row r="83" ht="23.25" customHeight="1">
      <c r="B83" s="114"/>
    </row>
    <row r="84" ht="23.25" customHeight="1">
      <c r="B84" s="114"/>
    </row>
    <row r="85" ht="23.25" customHeight="1">
      <c r="B85" s="114"/>
    </row>
    <row r="86" ht="23.25" customHeight="1">
      <c r="B86" s="114"/>
    </row>
    <row r="87" ht="23.25" customHeight="1">
      <c r="B87" s="114"/>
    </row>
    <row r="88" ht="23.25" customHeight="1">
      <c r="B88" s="114"/>
    </row>
    <row r="89" ht="23.25" customHeight="1">
      <c r="B89" s="114"/>
    </row>
    <row r="90" ht="23.25" customHeight="1">
      <c r="B90" s="114"/>
    </row>
    <row r="91" ht="23.25" customHeight="1">
      <c r="B91" s="114"/>
    </row>
    <row r="92" ht="23.25" customHeight="1">
      <c r="B92" s="114"/>
    </row>
    <row r="93" ht="23.25" customHeight="1">
      <c r="B93" s="114"/>
    </row>
    <row r="94" ht="23.25" customHeight="1">
      <c r="B94" s="114"/>
    </row>
    <row r="95" ht="23.25" customHeight="1">
      <c r="B95" s="114"/>
    </row>
    <row r="96" ht="23.25" customHeight="1">
      <c r="B96" s="114"/>
    </row>
    <row r="97" ht="23.25" customHeight="1">
      <c r="B97" s="114"/>
    </row>
    <row r="98" ht="23.25" customHeight="1">
      <c r="B98" s="114"/>
    </row>
    <row r="99" ht="23.25" customHeight="1">
      <c r="B99" s="114"/>
    </row>
    <row r="100" ht="23.25" customHeight="1">
      <c r="B100" s="114"/>
    </row>
    <row r="101" ht="23.25" customHeight="1">
      <c r="B101" s="114"/>
    </row>
    <row r="102" ht="23.25" customHeight="1">
      <c r="B102" s="114"/>
    </row>
    <row r="103" ht="23.25" customHeight="1">
      <c r="B103" s="114"/>
    </row>
    <row r="104" ht="23.25" customHeight="1">
      <c r="B104" s="114"/>
    </row>
    <row r="105" ht="23.25" customHeight="1">
      <c r="B105" s="114"/>
    </row>
    <row r="106" ht="23.25" customHeight="1">
      <c r="B106" s="114"/>
    </row>
    <row r="107" ht="23.25" customHeight="1">
      <c r="B107" s="114"/>
    </row>
    <row r="108" ht="23.25" customHeight="1">
      <c r="B108" s="114"/>
    </row>
    <row r="109" ht="23.25" customHeight="1">
      <c r="B109" s="114"/>
    </row>
    <row r="110" ht="23.25" customHeight="1">
      <c r="B110" s="114"/>
    </row>
    <row r="111" ht="23.25" customHeight="1">
      <c r="B111" s="114"/>
    </row>
    <row r="112" ht="23.25" customHeight="1">
      <c r="B112" s="114"/>
    </row>
    <row r="113" ht="23.25" customHeight="1">
      <c r="B113" s="114"/>
    </row>
    <row r="114" ht="23.25" customHeight="1">
      <c r="B114" s="114"/>
    </row>
    <row r="115" ht="23.25" customHeight="1">
      <c r="B115" s="114"/>
    </row>
    <row r="116" ht="23.25" customHeight="1">
      <c r="B116" s="114"/>
    </row>
    <row r="117" ht="23.25" customHeight="1">
      <c r="B117" s="114"/>
    </row>
    <row r="118" ht="23.25" customHeight="1">
      <c r="B118" s="114"/>
    </row>
    <row r="119" ht="23.25" customHeight="1">
      <c r="B119" s="114"/>
    </row>
    <row r="120" ht="23.25" customHeight="1">
      <c r="B120" s="114"/>
    </row>
    <row r="121" ht="23.25" customHeight="1">
      <c r="B121" s="114"/>
    </row>
    <row r="122" ht="23.25" customHeight="1">
      <c r="B122" s="114"/>
    </row>
    <row r="123" ht="23.25" customHeight="1">
      <c r="B123" s="114"/>
    </row>
    <row r="124" ht="23.25" customHeight="1">
      <c r="B124" s="114"/>
    </row>
    <row r="125" ht="23.25" customHeight="1">
      <c r="B125" s="114"/>
    </row>
    <row r="126" ht="23.25" customHeight="1">
      <c r="B126" s="114"/>
    </row>
    <row r="127" ht="23.25" customHeight="1">
      <c r="B127" s="114"/>
    </row>
    <row r="128" ht="23.25" customHeight="1">
      <c r="B128" s="114"/>
    </row>
    <row r="129" ht="23.25" customHeight="1">
      <c r="B129" s="114"/>
    </row>
    <row r="130" ht="23.25" customHeight="1">
      <c r="B130" s="114"/>
    </row>
    <row r="131" ht="23.25" customHeight="1">
      <c r="B131" s="114"/>
    </row>
    <row r="132" ht="23.25" customHeight="1">
      <c r="B132" s="114"/>
    </row>
    <row r="133" ht="23.25" customHeight="1">
      <c r="B133" s="114"/>
    </row>
    <row r="134" ht="23.25" customHeight="1">
      <c r="B134" s="114"/>
    </row>
    <row r="135" ht="23.25" customHeight="1">
      <c r="B135" s="114"/>
    </row>
    <row r="136" ht="23.25" customHeight="1">
      <c r="B136" s="114"/>
    </row>
    <row r="137" ht="23.25" customHeight="1">
      <c r="B137" s="114"/>
    </row>
    <row r="138" ht="23.25" customHeight="1">
      <c r="B138" s="114"/>
    </row>
    <row r="139" ht="23.25" customHeight="1">
      <c r="B139" s="114"/>
    </row>
    <row r="140" ht="23.25" customHeight="1">
      <c r="B140" s="114"/>
    </row>
    <row r="141" ht="23.25" customHeight="1">
      <c r="B141" s="114"/>
    </row>
    <row r="142" ht="23.25" customHeight="1">
      <c r="B142" s="114"/>
    </row>
    <row r="143" ht="23.25" customHeight="1">
      <c r="B143" s="114"/>
    </row>
    <row r="144" ht="23.25" customHeight="1">
      <c r="B144" s="114"/>
    </row>
    <row r="145" ht="23.25" customHeight="1">
      <c r="B145" s="114"/>
    </row>
    <row r="146" ht="23.25" customHeight="1">
      <c r="B146" s="114"/>
    </row>
    <row r="147" ht="23.25" customHeight="1">
      <c r="B147" s="114"/>
    </row>
    <row r="148" ht="23.25" customHeight="1">
      <c r="B148" s="114"/>
    </row>
    <row r="149" ht="23.25" customHeight="1">
      <c r="B149" s="114"/>
    </row>
    <row r="150" ht="23.25" customHeight="1">
      <c r="B150" s="114"/>
    </row>
    <row r="151" ht="23.25" customHeight="1">
      <c r="B151" s="114"/>
    </row>
    <row r="152" ht="23.25" customHeight="1">
      <c r="B152" s="114"/>
    </row>
    <row r="153" ht="23.25" customHeight="1">
      <c r="B153" s="114"/>
    </row>
    <row r="154" ht="23.25" customHeight="1">
      <c r="B154" s="114"/>
    </row>
    <row r="155" ht="23.25" customHeight="1">
      <c r="B155" s="114"/>
    </row>
    <row r="156" ht="23.25" customHeight="1">
      <c r="B156" s="114"/>
    </row>
    <row r="157" ht="23.25" customHeight="1">
      <c r="B157" s="114"/>
    </row>
    <row r="158" ht="23.25" customHeight="1">
      <c r="B158" s="114"/>
    </row>
    <row r="159" ht="23.25" customHeight="1">
      <c r="B159" s="114"/>
    </row>
    <row r="160" ht="23.25" customHeight="1">
      <c r="B160" s="114"/>
    </row>
    <row r="161" ht="23.25" customHeight="1">
      <c r="B161" s="114"/>
    </row>
    <row r="162" ht="23.25" customHeight="1">
      <c r="B162" s="114"/>
    </row>
    <row r="163" ht="23.25" customHeight="1">
      <c r="B163" s="114"/>
    </row>
    <row r="164" ht="23.25" customHeight="1">
      <c r="B164" s="114"/>
    </row>
    <row r="165" ht="23.25" customHeight="1">
      <c r="B165" s="114"/>
    </row>
    <row r="166" ht="23.25" customHeight="1">
      <c r="B166" s="114"/>
    </row>
    <row r="167" ht="23.25" customHeight="1">
      <c r="B167" s="114"/>
    </row>
    <row r="168" ht="23.25" customHeight="1">
      <c r="B168" s="114"/>
    </row>
    <row r="169" ht="23.25" customHeight="1">
      <c r="B169" s="114"/>
    </row>
    <row r="170" ht="23.25" customHeight="1">
      <c r="B170" s="114"/>
    </row>
    <row r="171" ht="23.25" customHeight="1">
      <c r="B171" s="114"/>
    </row>
    <row r="172" ht="23.25" customHeight="1">
      <c r="B172" s="114"/>
    </row>
    <row r="173" ht="23.25" customHeight="1">
      <c r="B173" s="114"/>
    </row>
    <row r="174" ht="23.25" customHeight="1">
      <c r="B174" s="114"/>
    </row>
    <row r="175" ht="23.25" customHeight="1">
      <c r="B175" s="114"/>
    </row>
    <row r="176" ht="23.25" customHeight="1">
      <c r="B176" s="114"/>
    </row>
    <row r="177" ht="23.25" customHeight="1">
      <c r="B177" s="114"/>
    </row>
    <row r="178" ht="23.25" customHeight="1">
      <c r="B178" s="114"/>
    </row>
    <row r="179" ht="23.25" customHeight="1">
      <c r="B179" s="114"/>
    </row>
    <row r="180" ht="23.25" customHeight="1">
      <c r="B180" s="114"/>
    </row>
    <row r="181" ht="23.25" customHeight="1">
      <c r="B181" s="114"/>
    </row>
    <row r="182" ht="23.25" customHeight="1">
      <c r="B182" s="114"/>
    </row>
    <row r="183" ht="23.25" customHeight="1">
      <c r="B183" s="114"/>
    </row>
    <row r="184" ht="23.25" customHeight="1">
      <c r="B184" s="114"/>
    </row>
    <row r="185" ht="23.25" customHeight="1">
      <c r="B185" s="114"/>
    </row>
    <row r="186" ht="23.25" customHeight="1">
      <c r="B186" s="114"/>
    </row>
    <row r="187" ht="23.25" customHeight="1">
      <c r="B187" s="114"/>
    </row>
    <row r="188" ht="23.25" customHeight="1">
      <c r="B188" s="114"/>
    </row>
    <row r="189" ht="23.25" customHeight="1">
      <c r="B189" s="114"/>
    </row>
    <row r="190" ht="23.25" customHeight="1">
      <c r="B190" s="114"/>
    </row>
    <row r="191" ht="23.25" customHeight="1">
      <c r="B191" s="114"/>
    </row>
    <row r="192" ht="23.25" customHeight="1">
      <c r="B192" s="114"/>
    </row>
    <row r="193" ht="23.25" customHeight="1">
      <c r="B193" s="114"/>
    </row>
    <row r="194" ht="23.25" customHeight="1">
      <c r="B194" s="114"/>
    </row>
    <row r="195" ht="23.25" customHeight="1">
      <c r="B195" s="114"/>
    </row>
    <row r="196" ht="23.25" customHeight="1">
      <c r="B196" s="114"/>
    </row>
    <row r="197" ht="23.25" customHeight="1">
      <c r="B197" s="114"/>
    </row>
    <row r="198" ht="23.25" customHeight="1">
      <c r="B198" s="114"/>
    </row>
    <row r="199" ht="23.25" customHeight="1">
      <c r="B199" s="114"/>
    </row>
    <row r="200" ht="23.25" customHeight="1">
      <c r="B200" s="114"/>
    </row>
    <row r="201" ht="23.25" customHeight="1">
      <c r="B201" s="114"/>
    </row>
    <row r="202" ht="23.25" customHeight="1">
      <c r="B202" s="114"/>
    </row>
    <row r="203" ht="23.25" customHeight="1">
      <c r="B203" s="114"/>
    </row>
    <row r="204" ht="23.25" customHeight="1">
      <c r="B204" s="114"/>
    </row>
    <row r="205" ht="23.25" customHeight="1">
      <c r="B205" s="114"/>
    </row>
    <row r="206" ht="23.25" customHeight="1">
      <c r="B206" s="114"/>
    </row>
    <row r="207" ht="23.25" customHeight="1">
      <c r="B207" s="114"/>
    </row>
    <row r="208" ht="23.25" customHeight="1">
      <c r="B208" s="114"/>
    </row>
    <row r="209" ht="23.25" customHeight="1">
      <c r="B209" s="114"/>
    </row>
    <row r="210" ht="23.25" customHeight="1">
      <c r="B210" s="114"/>
    </row>
    <row r="211" ht="23.25" customHeight="1">
      <c r="B211" s="114"/>
    </row>
    <row r="212" ht="23.25" customHeight="1">
      <c r="B212" s="114"/>
    </row>
    <row r="213" ht="23.25" customHeight="1">
      <c r="B213" s="114"/>
    </row>
    <row r="214" ht="23.25" customHeight="1">
      <c r="B214" s="114"/>
    </row>
    <row r="215" ht="23.25" customHeight="1">
      <c r="B215" s="114"/>
    </row>
    <row r="216" ht="23.25" customHeight="1">
      <c r="B216" s="114"/>
    </row>
    <row r="217" ht="23.25" customHeight="1">
      <c r="B217" s="114"/>
    </row>
    <row r="218" ht="23.25" customHeight="1">
      <c r="B218" s="114"/>
    </row>
    <row r="219" ht="23.25" customHeight="1">
      <c r="B219" s="114"/>
    </row>
    <row r="220" ht="23.25" customHeight="1">
      <c r="B220" s="114"/>
    </row>
    <row r="221" ht="23.25" customHeight="1">
      <c r="B221" s="114"/>
    </row>
    <row r="222" ht="23.25" customHeight="1">
      <c r="B222" s="114"/>
    </row>
    <row r="223" ht="23.25" customHeight="1">
      <c r="B223" s="114"/>
    </row>
    <row r="224" ht="23.25" customHeight="1">
      <c r="B224" s="114"/>
    </row>
    <row r="225" ht="23.25" customHeight="1">
      <c r="B225" s="114"/>
    </row>
    <row r="226" ht="23.25" customHeight="1">
      <c r="B226" s="114"/>
    </row>
    <row r="227" ht="23.25" customHeight="1">
      <c r="B227" s="114"/>
    </row>
    <row r="228" ht="23.25" customHeight="1">
      <c r="B228" s="114"/>
    </row>
    <row r="229" ht="23.25" customHeight="1">
      <c r="B229" s="114"/>
    </row>
    <row r="230" ht="23.25" customHeight="1">
      <c r="B230" s="114"/>
    </row>
    <row r="231" ht="23.25" customHeight="1">
      <c r="B231" s="114"/>
    </row>
    <row r="232" ht="23.25" customHeight="1">
      <c r="B232" s="114"/>
    </row>
    <row r="233" ht="23.25" customHeight="1">
      <c r="B233" s="114"/>
    </row>
    <row r="234" ht="23.25" customHeight="1">
      <c r="B234" s="114"/>
    </row>
    <row r="235" ht="23.25" customHeight="1">
      <c r="B235" s="114"/>
    </row>
    <row r="236" ht="23.25" customHeight="1">
      <c r="B236" s="114"/>
    </row>
    <row r="237" ht="23.25" customHeight="1">
      <c r="B237" s="114"/>
    </row>
    <row r="238" ht="23.25" customHeight="1">
      <c r="B238" s="114"/>
    </row>
    <row r="239" ht="23.25" customHeight="1">
      <c r="B239" s="114"/>
    </row>
    <row r="240" ht="23.25" customHeight="1">
      <c r="B240" s="114"/>
    </row>
    <row r="241" ht="23.25" customHeight="1">
      <c r="B241" s="114"/>
    </row>
    <row r="242" ht="23.25" customHeight="1">
      <c r="B242" s="114"/>
    </row>
    <row r="243" ht="23.25" customHeight="1">
      <c r="B243" s="114"/>
    </row>
    <row r="244" ht="23.25" customHeight="1">
      <c r="B244" s="114"/>
    </row>
    <row r="245" ht="23.25" customHeight="1">
      <c r="B245" s="114"/>
    </row>
    <row r="246" ht="23.25" customHeight="1">
      <c r="B246" s="114"/>
    </row>
    <row r="247" ht="23.25" customHeight="1">
      <c r="B247" s="114"/>
    </row>
    <row r="248" ht="23.25" customHeight="1">
      <c r="B248" s="114"/>
    </row>
    <row r="249" ht="23.25" customHeight="1">
      <c r="B249" s="114"/>
    </row>
    <row r="250" ht="23.25" customHeight="1">
      <c r="B250" s="114"/>
    </row>
    <row r="251" ht="23.25" customHeight="1">
      <c r="B251" s="114"/>
    </row>
    <row r="252" ht="23.25" customHeight="1">
      <c r="B252" s="114"/>
    </row>
    <row r="253" ht="23.25" customHeight="1">
      <c r="B253" s="114"/>
    </row>
    <row r="254" ht="23.25" customHeight="1">
      <c r="B254" s="114"/>
    </row>
    <row r="255" ht="23.25" customHeight="1">
      <c r="B255" s="114"/>
    </row>
    <row r="256" ht="23.25" customHeight="1">
      <c r="B256" s="114"/>
    </row>
    <row r="257" ht="23.25" customHeight="1">
      <c r="B257" s="114"/>
    </row>
    <row r="258" ht="23.25" customHeight="1">
      <c r="B258" s="114"/>
    </row>
    <row r="259" ht="23.25" customHeight="1">
      <c r="B259" s="114"/>
    </row>
    <row r="260" ht="23.25" customHeight="1">
      <c r="B260" s="114"/>
    </row>
    <row r="261" ht="23.25" customHeight="1">
      <c r="B261" s="114"/>
    </row>
    <row r="262" ht="23.25" customHeight="1">
      <c r="B262" s="114"/>
    </row>
    <row r="263" ht="23.25" customHeight="1">
      <c r="B263" s="114"/>
    </row>
    <row r="264" ht="23.25" customHeight="1">
      <c r="B264" s="114"/>
    </row>
    <row r="265" ht="23.25" customHeight="1">
      <c r="B265" s="114"/>
    </row>
    <row r="266" ht="23.25" customHeight="1">
      <c r="B266" s="114"/>
    </row>
    <row r="267" ht="23.25" customHeight="1">
      <c r="B267" s="114"/>
    </row>
    <row r="268" ht="23.25" customHeight="1">
      <c r="B268" s="114"/>
    </row>
    <row r="269" ht="23.25" customHeight="1">
      <c r="B269" s="114"/>
    </row>
    <row r="270" ht="23.25" customHeight="1">
      <c r="B270" s="114"/>
    </row>
    <row r="271" ht="23.25" customHeight="1">
      <c r="B271" s="114"/>
    </row>
    <row r="272" ht="23.25" customHeight="1">
      <c r="B272" s="114"/>
    </row>
    <row r="273" ht="23.25" customHeight="1">
      <c r="B273" s="114"/>
    </row>
    <row r="274" ht="23.25" customHeight="1">
      <c r="B274" s="114"/>
    </row>
    <row r="275" ht="23.25" customHeight="1">
      <c r="B275" s="114"/>
    </row>
    <row r="276" ht="23.25" customHeight="1">
      <c r="B276" s="114"/>
    </row>
    <row r="277" ht="23.25" customHeight="1">
      <c r="B277" s="114"/>
    </row>
    <row r="278" ht="23.25" customHeight="1">
      <c r="B278" s="114"/>
    </row>
    <row r="279" ht="23.25" customHeight="1">
      <c r="B279" s="114"/>
    </row>
    <row r="280" ht="23.25" customHeight="1">
      <c r="B280" s="114"/>
    </row>
    <row r="281" ht="23.25" customHeight="1">
      <c r="B281" s="114"/>
    </row>
    <row r="282" ht="23.25" customHeight="1">
      <c r="B282" s="114"/>
    </row>
    <row r="283" ht="23.25" customHeight="1">
      <c r="B283" s="114"/>
    </row>
    <row r="284" ht="23.25" customHeight="1">
      <c r="B284" s="114"/>
    </row>
    <row r="285" ht="23.25" customHeight="1">
      <c r="B285" s="114"/>
    </row>
    <row r="286" ht="23.25" customHeight="1">
      <c r="B286" s="114"/>
    </row>
    <row r="287" ht="23.25" customHeight="1">
      <c r="B287" s="114"/>
    </row>
    <row r="288" ht="23.25" customHeight="1">
      <c r="B288" s="114"/>
    </row>
    <row r="289" ht="23.25" customHeight="1">
      <c r="B289" s="114"/>
    </row>
    <row r="290" ht="23.25" customHeight="1">
      <c r="B290" s="114"/>
    </row>
    <row r="291" ht="23.25" customHeight="1">
      <c r="B291" s="114"/>
    </row>
    <row r="292" ht="23.25" customHeight="1">
      <c r="B292" s="114"/>
    </row>
    <row r="293" ht="23.25" customHeight="1">
      <c r="B293" s="114"/>
    </row>
    <row r="294" ht="23.25" customHeight="1">
      <c r="B294" s="114"/>
    </row>
    <row r="295" ht="23.25" customHeight="1">
      <c r="B295" s="114"/>
    </row>
    <row r="296" ht="23.25" customHeight="1">
      <c r="B296" s="114"/>
    </row>
    <row r="297" ht="23.25" customHeight="1">
      <c r="B297" s="114"/>
    </row>
    <row r="298" ht="23.25" customHeight="1">
      <c r="B298" s="114"/>
    </row>
    <row r="299" ht="23.25" customHeight="1">
      <c r="B299" s="114"/>
    </row>
    <row r="300" ht="23.25" customHeight="1">
      <c r="B300" s="114"/>
    </row>
    <row r="301" ht="23.25" customHeight="1">
      <c r="B301" s="114"/>
    </row>
    <row r="302" ht="23.25" customHeight="1">
      <c r="B302" s="114"/>
    </row>
    <row r="303" ht="23.25" customHeight="1">
      <c r="B303" s="114"/>
    </row>
    <row r="304" ht="23.25" customHeight="1">
      <c r="B304" s="114"/>
    </row>
    <row r="305" ht="23.25" customHeight="1">
      <c r="B305" s="114"/>
    </row>
    <row r="306" ht="23.25" customHeight="1">
      <c r="B306" s="114"/>
    </row>
    <row r="307" ht="23.25" customHeight="1">
      <c r="B307" s="114"/>
    </row>
    <row r="308" ht="23.25" customHeight="1">
      <c r="B308" s="114"/>
    </row>
    <row r="309" ht="23.25" customHeight="1">
      <c r="B309" s="114"/>
    </row>
    <row r="310" ht="23.25" customHeight="1">
      <c r="B310" s="114"/>
    </row>
    <row r="311" ht="23.25" customHeight="1">
      <c r="B311" s="114"/>
    </row>
    <row r="312" ht="23.25" customHeight="1">
      <c r="B312" s="114"/>
    </row>
    <row r="313" ht="23.25" customHeight="1">
      <c r="B313" s="114"/>
    </row>
    <row r="314" ht="23.25" customHeight="1">
      <c r="B314" s="114"/>
    </row>
    <row r="315" ht="23.25" customHeight="1">
      <c r="B315" s="114"/>
    </row>
    <row r="316" ht="23.25" customHeight="1">
      <c r="B316" s="114"/>
    </row>
    <row r="317" ht="23.25" customHeight="1">
      <c r="B317" s="114"/>
    </row>
    <row r="318" ht="23.25" customHeight="1">
      <c r="B318" s="114"/>
    </row>
    <row r="319" ht="23.25" customHeight="1">
      <c r="B319" s="114"/>
    </row>
    <row r="320" ht="23.25" customHeight="1">
      <c r="B320" s="114"/>
    </row>
    <row r="321" ht="23.25" customHeight="1">
      <c r="B321" s="114"/>
    </row>
    <row r="322" ht="23.25" customHeight="1">
      <c r="B322" s="114"/>
    </row>
    <row r="323" ht="23.25" customHeight="1">
      <c r="B323" s="114"/>
    </row>
    <row r="324" ht="23.25" customHeight="1">
      <c r="B324" s="114"/>
    </row>
    <row r="325" ht="23.25" customHeight="1">
      <c r="B325" s="114"/>
    </row>
    <row r="326" ht="23.25" customHeight="1">
      <c r="B326" s="114"/>
    </row>
    <row r="327" ht="23.25" customHeight="1">
      <c r="B327" s="114"/>
    </row>
    <row r="328" ht="23.25" customHeight="1">
      <c r="B328" s="114"/>
    </row>
    <row r="329" ht="23.25" customHeight="1">
      <c r="B329" s="114"/>
    </row>
    <row r="330" ht="23.25" customHeight="1">
      <c r="B330" s="114"/>
    </row>
    <row r="331" ht="23.25" customHeight="1">
      <c r="B331" s="114"/>
    </row>
    <row r="332" ht="23.25" customHeight="1">
      <c r="B332" s="114"/>
    </row>
    <row r="333" ht="23.25" customHeight="1">
      <c r="B333" s="114"/>
    </row>
    <row r="334" ht="23.25" customHeight="1">
      <c r="B334" s="114"/>
    </row>
    <row r="335" ht="23.25" customHeight="1">
      <c r="B335" s="114"/>
    </row>
    <row r="336" ht="23.25" customHeight="1">
      <c r="B336" s="114"/>
    </row>
    <row r="337" ht="23.25" customHeight="1">
      <c r="B337" s="114"/>
    </row>
    <row r="338" ht="23.25" customHeight="1">
      <c r="B338" s="114"/>
    </row>
    <row r="339" ht="23.25" customHeight="1">
      <c r="B339" s="114"/>
    </row>
    <row r="340" ht="23.25" customHeight="1">
      <c r="B340" s="114"/>
    </row>
    <row r="341" ht="23.25" customHeight="1">
      <c r="B341" s="114"/>
    </row>
    <row r="342" ht="23.25" customHeight="1">
      <c r="B342" s="114"/>
    </row>
    <row r="343" ht="23.25" customHeight="1">
      <c r="B343" s="114"/>
    </row>
    <row r="344" ht="23.25" customHeight="1">
      <c r="B344" s="114"/>
    </row>
    <row r="345" ht="23.25" customHeight="1">
      <c r="B345" s="114"/>
    </row>
    <row r="346" ht="23.25" customHeight="1">
      <c r="B346" s="114"/>
    </row>
    <row r="347" ht="23.25" customHeight="1">
      <c r="B347" s="114"/>
    </row>
    <row r="348" ht="23.25" customHeight="1">
      <c r="B348" s="114"/>
    </row>
    <row r="349" ht="23.25" customHeight="1">
      <c r="B349" s="114"/>
    </row>
    <row r="350" ht="23.25" customHeight="1">
      <c r="B350" s="114"/>
    </row>
    <row r="351" ht="23.25" customHeight="1">
      <c r="B351" s="114"/>
    </row>
    <row r="352" ht="23.25" customHeight="1">
      <c r="B352" s="114"/>
    </row>
    <row r="353" ht="23.25" customHeight="1">
      <c r="B353" s="114"/>
    </row>
    <row r="354" ht="23.25" customHeight="1">
      <c r="B354" s="114"/>
    </row>
    <row r="355" ht="23.25" customHeight="1">
      <c r="B355" s="114"/>
    </row>
    <row r="356" ht="23.25" customHeight="1">
      <c r="B356" s="114"/>
    </row>
    <row r="357" ht="23.25" customHeight="1">
      <c r="B357" s="114"/>
    </row>
    <row r="358" ht="23.25" customHeight="1">
      <c r="B358" s="114"/>
    </row>
    <row r="359" ht="23.25" customHeight="1">
      <c r="B359" s="114"/>
    </row>
    <row r="360" ht="23.25" customHeight="1">
      <c r="B360" s="114"/>
    </row>
    <row r="361" ht="23.25" customHeight="1">
      <c r="B361" s="114"/>
    </row>
    <row r="362" ht="23.25" customHeight="1">
      <c r="B362" s="114"/>
    </row>
    <row r="363" ht="23.25" customHeight="1">
      <c r="B363" s="114"/>
    </row>
    <row r="364" ht="23.25" customHeight="1">
      <c r="B364" s="114"/>
    </row>
    <row r="365" ht="23.25" customHeight="1">
      <c r="B365" s="114"/>
    </row>
    <row r="366" ht="23.25" customHeight="1">
      <c r="B366" s="114"/>
    </row>
    <row r="367" ht="23.25" customHeight="1">
      <c r="B367" s="114"/>
    </row>
    <row r="368" ht="23.25" customHeight="1">
      <c r="B368" s="114"/>
    </row>
    <row r="369" ht="23.25" customHeight="1">
      <c r="B369" s="114"/>
    </row>
    <row r="370" ht="23.25" customHeight="1">
      <c r="B370" s="114"/>
    </row>
    <row r="371" ht="23.25" customHeight="1">
      <c r="B371" s="114"/>
    </row>
    <row r="372" ht="23.25" customHeight="1">
      <c r="B372" s="114"/>
    </row>
    <row r="373" ht="23.25" customHeight="1">
      <c r="B373" s="114"/>
    </row>
    <row r="374" ht="23.25" customHeight="1">
      <c r="B374" s="114"/>
    </row>
    <row r="375" ht="23.25" customHeight="1">
      <c r="B375" s="114"/>
    </row>
    <row r="376" ht="23.25" customHeight="1">
      <c r="B376" s="114"/>
    </row>
    <row r="377" ht="23.25" customHeight="1">
      <c r="B377" s="114"/>
    </row>
    <row r="378" ht="23.25" customHeight="1">
      <c r="B378" s="114"/>
    </row>
    <row r="379" ht="23.25" customHeight="1">
      <c r="B379" s="114"/>
    </row>
    <row r="380" ht="23.25" customHeight="1">
      <c r="B380" s="114"/>
    </row>
    <row r="381" ht="23.25" customHeight="1">
      <c r="B381" s="114"/>
    </row>
    <row r="382" ht="23.25" customHeight="1">
      <c r="B382" s="114"/>
    </row>
    <row r="383" ht="23.25" customHeight="1">
      <c r="B383" s="114"/>
    </row>
    <row r="384" ht="23.25" customHeight="1">
      <c r="B384" s="114"/>
    </row>
    <row r="385" ht="23.25" customHeight="1">
      <c r="B385" s="114"/>
    </row>
    <row r="386" ht="23.25" customHeight="1">
      <c r="B386" s="114"/>
    </row>
    <row r="387" ht="23.25" customHeight="1">
      <c r="B387" s="114"/>
    </row>
    <row r="388" ht="23.25" customHeight="1">
      <c r="B388" s="114"/>
    </row>
    <row r="389" ht="23.25" customHeight="1">
      <c r="B389" s="114"/>
    </row>
    <row r="390" ht="23.25" customHeight="1">
      <c r="B390" s="114"/>
    </row>
    <row r="391" ht="23.25" customHeight="1">
      <c r="B391" s="114"/>
    </row>
    <row r="392" ht="23.25" customHeight="1">
      <c r="B392" s="114"/>
    </row>
    <row r="393" ht="23.25" customHeight="1">
      <c r="B393" s="114"/>
    </row>
    <row r="394" ht="23.25" customHeight="1">
      <c r="B394" s="114"/>
    </row>
    <row r="395" ht="23.25" customHeight="1">
      <c r="B395" s="114"/>
    </row>
    <row r="396" ht="23.25" customHeight="1">
      <c r="B396" s="114"/>
    </row>
    <row r="397" ht="23.25" customHeight="1">
      <c r="B397" s="114"/>
    </row>
    <row r="398" ht="23.25" customHeight="1">
      <c r="B398" s="114"/>
    </row>
    <row r="399" ht="23.25" customHeight="1">
      <c r="B399" s="114"/>
    </row>
    <row r="400" ht="23.25" customHeight="1">
      <c r="B400" s="114"/>
    </row>
    <row r="401" ht="23.25" customHeight="1">
      <c r="B401" s="114"/>
    </row>
    <row r="402" ht="23.25" customHeight="1">
      <c r="B402" s="114"/>
    </row>
    <row r="403" ht="23.25" customHeight="1">
      <c r="B403" s="114"/>
    </row>
    <row r="404" ht="23.25" customHeight="1">
      <c r="B404" s="114"/>
    </row>
    <row r="405" ht="23.25" customHeight="1">
      <c r="B405" s="114"/>
    </row>
    <row r="406" ht="23.25" customHeight="1">
      <c r="B406" s="114"/>
    </row>
    <row r="407" ht="23.25" customHeight="1">
      <c r="B407" s="114"/>
    </row>
    <row r="408" ht="23.25" customHeight="1">
      <c r="B408" s="114"/>
    </row>
    <row r="409" ht="23.25" customHeight="1">
      <c r="B409" s="114"/>
    </row>
    <row r="410" ht="23.25" customHeight="1">
      <c r="B410" s="114"/>
    </row>
    <row r="411" ht="23.25" customHeight="1">
      <c r="B411" s="114"/>
    </row>
    <row r="412" ht="23.25" customHeight="1">
      <c r="B412" s="114"/>
    </row>
    <row r="413" ht="23.25" customHeight="1">
      <c r="B413" s="114"/>
    </row>
    <row r="414" ht="23.25" customHeight="1">
      <c r="B414" s="114"/>
    </row>
    <row r="415" ht="23.25" customHeight="1">
      <c r="B415" s="114"/>
    </row>
    <row r="416" ht="23.25" customHeight="1">
      <c r="B416" s="114"/>
    </row>
    <row r="417" ht="23.25" customHeight="1">
      <c r="B417" s="114"/>
    </row>
    <row r="418" ht="23.25" customHeight="1">
      <c r="B418" s="114"/>
    </row>
    <row r="419" ht="23.25" customHeight="1">
      <c r="B419" s="114"/>
    </row>
    <row r="420" ht="23.25" customHeight="1">
      <c r="B420" s="114"/>
    </row>
    <row r="421" ht="23.25" customHeight="1">
      <c r="B421" s="114"/>
    </row>
    <row r="422" ht="23.25" customHeight="1">
      <c r="B422" s="114"/>
    </row>
    <row r="423" ht="23.25" customHeight="1">
      <c r="B423" s="114"/>
    </row>
    <row r="424" ht="23.25" customHeight="1">
      <c r="B424" s="114"/>
    </row>
    <row r="425" ht="23.25" customHeight="1">
      <c r="B425" s="114"/>
    </row>
    <row r="426" ht="23.25" customHeight="1">
      <c r="B426" s="114"/>
    </row>
    <row r="427" ht="23.25" customHeight="1">
      <c r="B427" s="114"/>
    </row>
    <row r="428" ht="23.25" customHeight="1">
      <c r="B428" s="114"/>
    </row>
    <row r="429" ht="23.25" customHeight="1">
      <c r="B429" s="114"/>
    </row>
    <row r="430" ht="23.25" customHeight="1">
      <c r="B430" s="114"/>
    </row>
    <row r="431" ht="23.25" customHeight="1">
      <c r="B431" s="114"/>
    </row>
    <row r="432" ht="23.25" customHeight="1">
      <c r="B432" s="114"/>
    </row>
    <row r="433" ht="23.25" customHeight="1">
      <c r="B433" s="114"/>
    </row>
    <row r="434" ht="23.25" customHeight="1">
      <c r="B434" s="114"/>
    </row>
    <row r="435" ht="23.25" customHeight="1">
      <c r="B435" s="114"/>
    </row>
    <row r="436" ht="23.25" customHeight="1">
      <c r="B436" s="114"/>
    </row>
    <row r="437" ht="23.25" customHeight="1">
      <c r="B437" s="114"/>
    </row>
    <row r="438" ht="23.25" customHeight="1">
      <c r="B438" s="114"/>
    </row>
    <row r="439" ht="23.25" customHeight="1">
      <c r="B439" s="114"/>
    </row>
    <row r="440" ht="23.25" customHeight="1">
      <c r="B440" s="114"/>
    </row>
    <row r="441" ht="23.25" customHeight="1">
      <c r="B441" s="114"/>
    </row>
    <row r="442" ht="23.25" customHeight="1">
      <c r="B442" s="114"/>
    </row>
    <row r="443" ht="23.25" customHeight="1">
      <c r="B443" s="114"/>
    </row>
    <row r="444" ht="23.25" customHeight="1">
      <c r="B444" s="114"/>
    </row>
    <row r="445" ht="23.25" customHeight="1">
      <c r="B445" s="114"/>
    </row>
    <row r="446" ht="23.25" customHeight="1">
      <c r="B446" s="114"/>
    </row>
    <row r="447" ht="23.25" customHeight="1">
      <c r="B447" s="114"/>
    </row>
    <row r="448" ht="23.25" customHeight="1">
      <c r="B448" s="114"/>
    </row>
    <row r="449" ht="23.25" customHeight="1">
      <c r="B449" s="114"/>
    </row>
    <row r="450" ht="23.25" customHeight="1">
      <c r="B450" s="114"/>
    </row>
    <row r="451" ht="23.25" customHeight="1">
      <c r="B451" s="114"/>
    </row>
    <row r="452" ht="23.25" customHeight="1">
      <c r="B452" s="114"/>
    </row>
    <row r="453" ht="23.25" customHeight="1">
      <c r="B453" s="114"/>
    </row>
    <row r="454" ht="23.25" customHeight="1">
      <c r="B454" s="114"/>
    </row>
    <row r="455" ht="23.25" customHeight="1">
      <c r="B455" s="114"/>
    </row>
    <row r="456" ht="23.25" customHeight="1">
      <c r="B456" s="114"/>
    </row>
    <row r="457" ht="23.25" customHeight="1">
      <c r="B457" s="114"/>
    </row>
    <row r="458" ht="23.25" customHeight="1">
      <c r="B458" s="114"/>
    </row>
    <row r="459" ht="23.25" customHeight="1">
      <c r="B459" s="114"/>
    </row>
    <row r="460" ht="23.25" customHeight="1">
      <c r="B460" s="114"/>
    </row>
    <row r="461" ht="23.25" customHeight="1">
      <c r="B461" s="114"/>
    </row>
    <row r="462" ht="23.25" customHeight="1">
      <c r="B462" s="114"/>
    </row>
    <row r="463" ht="23.25" customHeight="1">
      <c r="B463" s="114"/>
    </row>
    <row r="464" ht="23.25" customHeight="1">
      <c r="B464" s="114"/>
    </row>
    <row r="465" ht="23.25" customHeight="1">
      <c r="B465" s="114"/>
    </row>
    <row r="466" ht="23.25" customHeight="1">
      <c r="B466" s="114"/>
    </row>
    <row r="467" ht="23.25" customHeight="1">
      <c r="B467" s="114"/>
    </row>
    <row r="468" ht="23.25" customHeight="1">
      <c r="B468" s="114"/>
    </row>
    <row r="469" ht="23.25" customHeight="1">
      <c r="B469" s="114"/>
    </row>
    <row r="470" ht="23.25" customHeight="1">
      <c r="B470" s="114"/>
    </row>
    <row r="471" ht="23.25" customHeight="1">
      <c r="B471" s="114"/>
    </row>
    <row r="472" ht="23.25" customHeight="1">
      <c r="B472" s="114"/>
    </row>
    <row r="473" ht="23.25" customHeight="1">
      <c r="B473" s="114"/>
    </row>
    <row r="474" ht="23.25" customHeight="1">
      <c r="B474" s="114"/>
    </row>
    <row r="475" ht="23.25" customHeight="1">
      <c r="B475" s="114"/>
    </row>
    <row r="476" ht="23.25" customHeight="1">
      <c r="B476" s="114"/>
    </row>
    <row r="477" ht="23.25" customHeight="1">
      <c r="B477" s="114"/>
    </row>
    <row r="478" ht="23.25" customHeight="1">
      <c r="B478" s="114"/>
    </row>
    <row r="479" ht="23.25" customHeight="1">
      <c r="B479" s="114"/>
    </row>
    <row r="480" ht="23.25" customHeight="1">
      <c r="B480" s="114"/>
    </row>
    <row r="481" ht="23.25" customHeight="1">
      <c r="B481" s="114"/>
    </row>
    <row r="482" ht="23.25" customHeight="1">
      <c r="B482" s="114"/>
    </row>
    <row r="483" ht="23.25" customHeight="1">
      <c r="B483" s="114"/>
    </row>
    <row r="484" ht="23.25" customHeight="1">
      <c r="B484" s="114"/>
    </row>
    <row r="485" ht="23.25" customHeight="1">
      <c r="B485" s="114"/>
    </row>
    <row r="486" ht="23.25" customHeight="1">
      <c r="B486" s="114"/>
    </row>
    <row r="487" ht="23.25" customHeight="1">
      <c r="B487" s="114"/>
    </row>
    <row r="488" ht="23.25" customHeight="1">
      <c r="B488" s="114"/>
    </row>
    <row r="489" ht="23.25" customHeight="1">
      <c r="B489" s="114"/>
    </row>
    <row r="490" ht="23.25" customHeight="1">
      <c r="B490" s="114"/>
    </row>
    <row r="491" ht="23.25" customHeight="1">
      <c r="B491" s="114"/>
    </row>
    <row r="492" ht="23.25" customHeight="1">
      <c r="B492" s="114"/>
    </row>
    <row r="493" ht="23.25" customHeight="1">
      <c r="B493" s="114"/>
    </row>
    <row r="494" ht="23.25" customHeight="1">
      <c r="B494" s="114"/>
    </row>
    <row r="495" ht="23.25" customHeight="1">
      <c r="B495" s="114"/>
    </row>
    <row r="496" ht="23.25" customHeight="1">
      <c r="B496" s="114"/>
    </row>
    <row r="497" ht="23.25" customHeight="1">
      <c r="B497" s="114"/>
    </row>
    <row r="498" ht="23.25" customHeight="1">
      <c r="B498" s="114"/>
    </row>
    <row r="499" ht="23.25" customHeight="1">
      <c r="B499" s="114"/>
    </row>
    <row r="500" ht="23.25" customHeight="1">
      <c r="B500" s="114"/>
    </row>
    <row r="501" ht="23.25" customHeight="1">
      <c r="B501" s="114"/>
    </row>
    <row r="502" ht="23.25" customHeight="1">
      <c r="B502" s="114"/>
    </row>
    <row r="503" ht="23.25" customHeight="1">
      <c r="B503" s="114"/>
    </row>
    <row r="504" ht="23.25" customHeight="1">
      <c r="B504" s="114"/>
    </row>
    <row r="505" ht="23.25" customHeight="1">
      <c r="B505" s="114"/>
    </row>
    <row r="506" ht="23.25" customHeight="1">
      <c r="B506" s="114"/>
    </row>
    <row r="507" ht="23.25" customHeight="1">
      <c r="B507" s="114"/>
    </row>
    <row r="508" ht="23.25" customHeight="1">
      <c r="B508" s="114"/>
    </row>
    <row r="509" ht="23.25" customHeight="1">
      <c r="B509" s="114"/>
    </row>
    <row r="510" ht="23.25" customHeight="1">
      <c r="B510" s="114"/>
    </row>
    <row r="511" ht="23.25" customHeight="1">
      <c r="B511" s="114"/>
    </row>
    <row r="512" ht="23.25" customHeight="1">
      <c r="B512" s="114"/>
    </row>
    <row r="513" ht="23.25" customHeight="1">
      <c r="B513" s="114"/>
    </row>
    <row r="514" ht="23.25" customHeight="1">
      <c r="B514" s="114"/>
    </row>
    <row r="515" ht="23.25" customHeight="1">
      <c r="B515" s="114"/>
    </row>
    <row r="516" ht="23.25" customHeight="1">
      <c r="B516" s="114"/>
    </row>
    <row r="517" ht="23.25" customHeight="1">
      <c r="B517" s="114"/>
    </row>
    <row r="518" ht="23.25" customHeight="1">
      <c r="B518" s="114"/>
    </row>
    <row r="519" ht="23.25" customHeight="1">
      <c r="B519" s="114"/>
    </row>
    <row r="520" ht="23.25" customHeight="1">
      <c r="B520" s="114"/>
    </row>
    <row r="521" ht="23.25" customHeight="1">
      <c r="B521" s="114"/>
    </row>
    <row r="522" ht="23.25" customHeight="1">
      <c r="B522" s="114"/>
    </row>
    <row r="523" ht="23.25" customHeight="1">
      <c r="B523" s="114"/>
    </row>
    <row r="524" ht="23.25" customHeight="1">
      <c r="B524" s="114"/>
    </row>
    <row r="525" ht="23.25" customHeight="1">
      <c r="B525" s="114"/>
    </row>
    <row r="526" ht="23.25" customHeight="1">
      <c r="B526" s="114"/>
    </row>
    <row r="527" ht="23.25" customHeight="1">
      <c r="B527" s="114"/>
    </row>
    <row r="528" ht="23.25" customHeight="1">
      <c r="B528" s="114"/>
    </row>
    <row r="529" ht="23.25" customHeight="1">
      <c r="B529" s="114"/>
    </row>
    <row r="530" ht="23.25" customHeight="1">
      <c r="B530" s="114"/>
    </row>
    <row r="531" ht="23.25" customHeight="1">
      <c r="B531" s="114"/>
    </row>
    <row r="532" ht="23.25" customHeight="1">
      <c r="B532" s="114"/>
    </row>
    <row r="533" ht="23.25" customHeight="1">
      <c r="B533" s="114"/>
    </row>
    <row r="534" ht="23.25" customHeight="1">
      <c r="B534" s="114"/>
    </row>
    <row r="535" ht="23.25" customHeight="1">
      <c r="B535" s="114"/>
    </row>
    <row r="536" ht="23.25" customHeight="1">
      <c r="B536" s="114"/>
    </row>
    <row r="537" ht="23.25" customHeight="1">
      <c r="B537" s="114"/>
    </row>
    <row r="538" ht="23.25" customHeight="1">
      <c r="B538" s="114"/>
    </row>
    <row r="539" ht="23.25" customHeight="1">
      <c r="B539" s="114"/>
    </row>
    <row r="540" ht="23.25" customHeight="1">
      <c r="B540" s="114"/>
    </row>
    <row r="541" ht="23.25" customHeight="1">
      <c r="B541" s="114"/>
    </row>
    <row r="542" ht="23.25" customHeight="1">
      <c r="B542" s="114"/>
    </row>
    <row r="543" ht="23.25" customHeight="1">
      <c r="B543" s="114"/>
    </row>
    <row r="544" ht="23.25" customHeight="1">
      <c r="B544" s="114"/>
    </row>
    <row r="545" ht="23.25" customHeight="1">
      <c r="B545" s="114"/>
    </row>
    <row r="546" ht="23.25" customHeight="1">
      <c r="B546" s="114"/>
    </row>
    <row r="547" ht="23.25" customHeight="1">
      <c r="B547" s="114"/>
    </row>
    <row r="548" ht="23.25" customHeight="1">
      <c r="B548" s="114"/>
    </row>
    <row r="549" ht="23.25" customHeight="1">
      <c r="B549" s="114"/>
    </row>
    <row r="550" ht="23.25" customHeight="1">
      <c r="B550" s="114"/>
    </row>
    <row r="551" ht="23.25" customHeight="1">
      <c r="B551" s="114"/>
    </row>
    <row r="552" ht="23.25" customHeight="1">
      <c r="B552" s="114"/>
    </row>
    <row r="553" ht="23.25" customHeight="1">
      <c r="B553" s="114"/>
    </row>
    <row r="554" ht="23.25" customHeight="1">
      <c r="B554" s="114"/>
    </row>
    <row r="555" ht="23.25" customHeight="1">
      <c r="B555" s="114"/>
    </row>
    <row r="556" ht="23.25" customHeight="1">
      <c r="B556" s="114"/>
    </row>
    <row r="557" ht="23.25" customHeight="1">
      <c r="B557" s="114"/>
    </row>
    <row r="558" ht="23.25" customHeight="1">
      <c r="B558" s="114"/>
    </row>
    <row r="559" ht="23.25" customHeight="1">
      <c r="B559" s="114"/>
    </row>
    <row r="560" ht="23.25" customHeight="1">
      <c r="B560" s="114"/>
    </row>
    <row r="561" ht="23.25" customHeight="1">
      <c r="B561" s="114"/>
    </row>
    <row r="562" ht="23.25" customHeight="1">
      <c r="B562" s="114"/>
    </row>
    <row r="563" ht="23.25" customHeight="1">
      <c r="B563" s="114"/>
    </row>
    <row r="564" ht="23.25" customHeight="1">
      <c r="B564" s="114"/>
    </row>
    <row r="565" ht="23.25" customHeight="1">
      <c r="B565" s="114"/>
    </row>
    <row r="566" ht="23.25" customHeight="1">
      <c r="B566" s="114"/>
    </row>
    <row r="567" ht="23.25" customHeight="1">
      <c r="B567" s="114"/>
    </row>
    <row r="568" ht="23.25" customHeight="1">
      <c r="B568" s="114"/>
    </row>
    <row r="569" ht="23.25" customHeight="1">
      <c r="B569" s="114"/>
    </row>
    <row r="570" ht="23.25" customHeight="1">
      <c r="B570" s="114"/>
    </row>
    <row r="571" ht="23.25" customHeight="1">
      <c r="B571" s="114"/>
    </row>
    <row r="572" ht="23.25" customHeight="1">
      <c r="B572" s="114"/>
    </row>
    <row r="573" ht="23.25" customHeight="1">
      <c r="B573" s="114"/>
    </row>
    <row r="574" ht="23.25" customHeight="1">
      <c r="B574" s="114"/>
    </row>
    <row r="575" ht="23.25" customHeight="1">
      <c r="B575" s="114"/>
    </row>
    <row r="576" ht="23.25" customHeight="1">
      <c r="B576" s="114"/>
    </row>
    <row r="577" ht="23.25" customHeight="1">
      <c r="B577" s="114"/>
    </row>
    <row r="578" ht="23.25" customHeight="1">
      <c r="B578" s="114"/>
    </row>
    <row r="579" ht="23.25" customHeight="1">
      <c r="B579" s="114"/>
    </row>
    <row r="580" ht="23.25" customHeight="1">
      <c r="B580" s="114"/>
    </row>
    <row r="581" ht="23.25" customHeight="1">
      <c r="B581" s="114"/>
    </row>
    <row r="582" ht="23.25" customHeight="1">
      <c r="B582" s="114"/>
    </row>
    <row r="583" ht="23.25" customHeight="1">
      <c r="B583" s="114"/>
    </row>
    <row r="584" ht="23.25" customHeight="1">
      <c r="B584" s="114"/>
    </row>
    <row r="585" ht="23.25" customHeight="1">
      <c r="B585" s="114"/>
    </row>
    <row r="586" ht="23.25" customHeight="1">
      <c r="B586" s="114"/>
    </row>
    <row r="587" ht="23.25" customHeight="1">
      <c r="B587" s="114"/>
    </row>
    <row r="588" ht="23.25" customHeight="1">
      <c r="B588" s="114"/>
    </row>
    <row r="589" ht="23.25" customHeight="1">
      <c r="B589" s="114"/>
    </row>
    <row r="590" ht="23.25" customHeight="1">
      <c r="B590" s="114"/>
    </row>
    <row r="591" ht="23.25" customHeight="1">
      <c r="B591" s="114"/>
    </row>
    <row r="592" ht="23.25" customHeight="1">
      <c r="B592" s="114"/>
    </row>
    <row r="593" ht="23.25" customHeight="1">
      <c r="B593" s="114"/>
    </row>
    <row r="594" ht="23.25" customHeight="1">
      <c r="B594" s="114"/>
    </row>
    <row r="595" ht="23.25" customHeight="1">
      <c r="B595" s="114"/>
    </row>
    <row r="596" ht="23.25" customHeight="1">
      <c r="B596" s="114"/>
    </row>
    <row r="597" ht="23.25" customHeight="1">
      <c r="B597" s="114"/>
    </row>
    <row r="598" ht="23.25" customHeight="1">
      <c r="B598" s="114"/>
    </row>
    <row r="599" ht="23.25" customHeight="1">
      <c r="B599" s="114"/>
    </row>
    <row r="600" ht="23.25" customHeight="1">
      <c r="B600" s="114"/>
    </row>
    <row r="601" ht="23.25" customHeight="1">
      <c r="B601" s="114"/>
    </row>
    <row r="602" ht="23.25" customHeight="1">
      <c r="B602" s="114"/>
    </row>
    <row r="603" ht="23.25" customHeight="1">
      <c r="B603" s="114"/>
    </row>
    <row r="604" ht="23.25" customHeight="1">
      <c r="B604" s="114"/>
    </row>
    <row r="605" ht="23.25" customHeight="1">
      <c r="B605" s="114"/>
    </row>
    <row r="606" ht="23.25" customHeight="1">
      <c r="B606" s="114"/>
    </row>
    <row r="607" ht="23.25" customHeight="1">
      <c r="B607" s="114"/>
    </row>
    <row r="608" ht="23.25" customHeight="1">
      <c r="B608" s="114"/>
    </row>
    <row r="609" ht="23.25" customHeight="1">
      <c r="B609" s="114"/>
    </row>
    <row r="610" ht="23.25" customHeight="1">
      <c r="B610" s="114"/>
    </row>
    <row r="611" ht="23.25" customHeight="1">
      <c r="B611" s="114"/>
    </row>
    <row r="612" ht="23.25" customHeight="1">
      <c r="B612" s="114"/>
    </row>
    <row r="613" ht="23.25" customHeight="1">
      <c r="B613" s="114"/>
    </row>
    <row r="614" ht="23.25" customHeight="1">
      <c r="B614" s="114"/>
    </row>
    <row r="615" ht="23.25" customHeight="1">
      <c r="B615" s="114"/>
    </row>
    <row r="616" ht="23.25" customHeight="1">
      <c r="B616" s="114"/>
    </row>
    <row r="617" ht="23.25" customHeight="1">
      <c r="B617" s="114"/>
    </row>
    <row r="618" ht="23.25" customHeight="1">
      <c r="B618" s="114"/>
    </row>
    <row r="619" ht="23.25" customHeight="1">
      <c r="B619" s="114"/>
    </row>
    <row r="620" ht="23.25" customHeight="1">
      <c r="B620" s="114"/>
    </row>
    <row r="621" ht="23.25" customHeight="1">
      <c r="B621" s="114"/>
    </row>
    <row r="622" ht="23.25" customHeight="1">
      <c r="B622" s="114"/>
    </row>
    <row r="623" ht="23.25" customHeight="1">
      <c r="B623" s="114"/>
    </row>
    <row r="624" ht="23.25" customHeight="1">
      <c r="B624" s="114"/>
    </row>
    <row r="625" ht="23.25" customHeight="1">
      <c r="B625" s="114"/>
    </row>
    <row r="626" ht="23.25" customHeight="1">
      <c r="B626" s="114"/>
    </row>
    <row r="627" ht="23.25" customHeight="1">
      <c r="B627" s="114"/>
    </row>
    <row r="628" ht="23.25" customHeight="1">
      <c r="B628" s="114"/>
    </row>
    <row r="629" ht="23.25" customHeight="1">
      <c r="B629" s="114"/>
    </row>
    <row r="630" ht="23.25" customHeight="1">
      <c r="B630" s="114"/>
    </row>
    <row r="631" ht="23.25" customHeight="1">
      <c r="B631" s="114"/>
    </row>
    <row r="632" ht="23.25" customHeight="1">
      <c r="B632" s="114"/>
    </row>
    <row r="633" ht="23.25" customHeight="1">
      <c r="B633" s="114"/>
    </row>
    <row r="634" ht="23.25" customHeight="1">
      <c r="B634" s="114"/>
    </row>
    <row r="635" ht="23.25" customHeight="1">
      <c r="B635" s="114"/>
    </row>
    <row r="636" ht="23.25" customHeight="1">
      <c r="B636" s="114"/>
    </row>
    <row r="637" ht="23.25" customHeight="1">
      <c r="B637" s="114"/>
    </row>
    <row r="638" ht="23.25" customHeight="1">
      <c r="B638" s="114"/>
    </row>
    <row r="639" ht="23.25" customHeight="1">
      <c r="B639" s="114"/>
    </row>
    <row r="640" ht="23.25" customHeight="1">
      <c r="B640" s="114"/>
    </row>
    <row r="641" ht="23.25" customHeight="1">
      <c r="B641" s="114"/>
    </row>
    <row r="642" ht="23.25" customHeight="1">
      <c r="B642" s="114"/>
    </row>
    <row r="643" ht="23.25" customHeight="1">
      <c r="B643" s="114"/>
    </row>
    <row r="644" ht="23.25" customHeight="1">
      <c r="B644" s="114"/>
    </row>
    <row r="645" ht="23.25" customHeight="1">
      <c r="B645" s="114"/>
    </row>
    <row r="646" ht="23.25" customHeight="1">
      <c r="B646" s="114"/>
    </row>
    <row r="647" ht="23.25" customHeight="1">
      <c r="B647" s="114"/>
    </row>
    <row r="648" ht="23.25" customHeight="1">
      <c r="B648" s="114"/>
    </row>
    <row r="649" ht="23.25" customHeight="1">
      <c r="B649" s="114"/>
    </row>
    <row r="650" ht="23.25" customHeight="1">
      <c r="B650" s="114"/>
    </row>
    <row r="651" ht="23.25" customHeight="1">
      <c r="B651" s="114"/>
    </row>
    <row r="652" ht="23.25" customHeight="1">
      <c r="B652" s="114"/>
    </row>
    <row r="653" ht="23.25" customHeight="1">
      <c r="B653" s="114"/>
    </row>
    <row r="654" ht="23.25" customHeight="1">
      <c r="B654" s="114"/>
    </row>
    <row r="655" ht="23.25" customHeight="1">
      <c r="B655" s="114"/>
    </row>
    <row r="656" ht="23.25" customHeight="1">
      <c r="B656" s="114"/>
    </row>
    <row r="657" ht="23.25" customHeight="1">
      <c r="B657" s="114"/>
    </row>
    <row r="658" ht="23.25" customHeight="1">
      <c r="B658" s="114"/>
    </row>
    <row r="659" ht="23.25" customHeight="1">
      <c r="B659" s="114"/>
    </row>
    <row r="660" ht="23.25" customHeight="1">
      <c r="B660" s="114"/>
    </row>
    <row r="661" ht="23.25" customHeight="1">
      <c r="B661" s="114"/>
    </row>
    <row r="662" ht="23.25" customHeight="1">
      <c r="B662" s="114"/>
    </row>
    <row r="663" ht="23.25" customHeight="1">
      <c r="B663" s="114"/>
    </row>
    <row r="664" ht="23.25" customHeight="1">
      <c r="B664" s="114"/>
    </row>
    <row r="665" ht="23.25" customHeight="1">
      <c r="B665" s="114"/>
    </row>
    <row r="666" ht="23.25" customHeight="1">
      <c r="B666" s="114"/>
    </row>
    <row r="667" ht="23.25" customHeight="1">
      <c r="B667" s="114"/>
    </row>
    <row r="668" ht="23.25" customHeight="1">
      <c r="B668" s="114"/>
    </row>
    <row r="669" ht="23.25" customHeight="1">
      <c r="B669" s="114"/>
    </row>
    <row r="670" ht="23.25" customHeight="1">
      <c r="B670" s="114"/>
    </row>
    <row r="671" ht="23.25" customHeight="1">
      <c r="B671" s="114"/>
    </row>
    <row r="672" ht="23.25" customHeight="1">
      <c r="B672" s="114"/>
    </row>
    <row r="673" ht="23.25" customHeight="1">
      <c r="B673" s="114"/>
    </row>
    <row r="674" ht="23.25" customHeight="1">
      <c r="B674" s="114"/>
    </row>
    <row r="675" ht="23.25" customHeight="1">
      <c r="B675" s="114"/>
    </row>
    <row r="676" ht="23.25" customHeight="1">
      <c r="B676" s="114"/>
    </row>
    <row r="677" ht="23.25" customHeight="1">
      <c r="B677" s="114"/>
    </row>
    <row r="678" ht="23.25" customHeight="1">
      <c r="B678" s="114"/>
    </row>
    <row r="679" ht="23.25" customHeight="1">
      <c r="B679" s="114"/>
    </row>
    <row r="680" ht="23.25" customHeight="1">
      <c r="B680" s="114"/>
    </row>
    <row r="681" ht="23.25" customHeight="1">
      <c r="B681" s="114"/>
    </row>
    <row r="682" ht="23.25" customHeight="1">
      <c r="B682" s="114"/>
    </row>
    <row r="683" ht="23.25" customHeight="1">
      <c r="B683" s="114"/>
    </row>
    <row r="684" ht="23.25" customHeight="1">
      <c r="B684" s="114"/>
    </row>
    <row r="685" ht="23.25" customHeight="1">
      <c r="B685" s="114"/>
    </row>
    <row r="686" ht="23.25" customHeight="1">
      <c r="B686" s="114"/>
    </row>
    <row r="687" ht="23.25" customHeight="1">
      <c r="B687" s="114"/>
    </row>
    <row r="688" ht="23.25" customHeight="1">
      <c r="B688" s="114"/>
    </row>
    <row r="689" ht="23.25" customHeight="1">
      <c r="B689" s="114"/>
    </row>
    <row r="690" ht="23.25" customHeight="1">
      <c r="B690" s="114"/>
    </row>
    <row r="691" ht="23.25" customHeight="1">
      <c r="B691" s="114"/>
    </row>
    <row r="692" ht="23.25" customHeight="1">
      <c r="B692" s="114"/>
    </row>
    <row r="693" ht="23.25" customHeight="1">
      <c r="B693" s="114"/>
    </row>
    <row r="694" ht="23.25" customHeight="1">
      <c r="B694" s="114"/>
    </row>
    <row r="695" ht="23.25" customHeight="1">
      <c r="B695" s="114"/>
    </row>
    <row r="696" ht="23.25" customHeight="1">
      <c r="B696" s="114"/>
    </row>
    <row r="697" ht="23.25" customHeight="1">
      <c r="B697" s="114"/>
    </row>
    <row r="698" ht="23.25" customHeight="1">
      <c r="B698" s="114"/>
    </row>
    <row r="699" ht="23.25" customHeight="1">
      <c r="B699" s="114"/>
    </row>
    <row r="700" ht="23.25" customHeight="1">
      <c r="B700" s="114"/>
    </row>
    <row r="701" ht="23.25" customHeight="1">
      <c r="B701" s="114"/>
    </row>
    <row r="702" ht="23.25" customHeight="1">
      <c r="B702" s="114"/>
    </row>
    <row r="703" ht="23.25" customHeight="1">
      <c r="B703" s="114"/>
    </row>
    <row r="704" ht="23.25" customHeight="1">
      <c r="B704" s="114"/>
    </row>
    <row r="705" ht="23.25" customHeight="1">
      <c r="B705" s="114"/>
    </row>
    <row r="706" ht="23.25" customHeight="1">
      <c r="B706" s="114"/>
    </row>
    <row r="707" ht="23.25" customHeight="1">
      <c r="B707" s="114"/>
    </row>
    <row r="708" ht="23.25" customHeight="1">
      <c r="B708" s="114"/>
    </row>
    <row r="709" ht="23.25" customHeight="1">
      <c r="B709" s="114"/>
    </row>
    <row r="710" ht="23.25" customHeight="1">
      <c r="B710" s="114"/>
    </row>
    <row r="711" ht="23.25" customHeight="1">
      <c r="B711" s="114"/>
    </row>
    <row r="712" ht="23.25" customHeight="1">
      <c r="B712" s="114"/>
    </row>
    <row r="713" ht="23.25" customHeight="1">
      <c r="B713" s="114"/>
    </row>
    <row r="714" ht="23.25" customHeight="1">
      <c r="B714" s="114"/>
    </row>
    <row r="715" ht="23.25" customHeight="1">
      <c r="B715" s="114"/>
    </row>
    <row r="716" ht="23.25" customHeight="1">
      <c r="B716" s="114"/>
    </row>
    <row r="717" ht="23.25" customHeight="1">
      <c r="B717" s="114"/>
    </row>
    <row r="718" ht="23.25" customHeight="1">
      <c r="B718" s="114"/>
    </row>
    <row r="719" ht="23.25" customHeight="1">
      <c r="B719" s="114"/>
    </row>
    <row r="720" ht="23.25" customHeight="1">
      <c r="B720" s="114"/>
    </row>
    <row r="721" ht="23.25" customHeight="1">
      <c r="B721" s="114"/>
    </row>
    <row r="722" ht="23.25" customHeight="1">
      <c r="B722" s="114"/>
    </row>
    <row r="723" ht="23.25" customHeight="1">
      <c r="B723" s="114"/>
    </row>
    <row r="724" ht="23.25" customHeight="1">
      <c r="B724" s="114"/>
    </row>
    <row r="725" ht="23.25" customHeight="1">
      <c r="B725" s="114"/>
    </row>
    <row r="726" ht="23.25" customHeight="1">
      <c r="B726" s="114"/>
    </row>
    <row r="727" ht="23.25" customHeight="1">
      <c r="B727" s="114"/>
    </row>
    <row r="728" ht="23.25" customHeight="1">
      <c r="B728" s="114"/>
    </row>
    <row r="729" ht="23.25" customHeight="1">
      <c r="B729" s="114"/>
    </row>
    <row r="730" ht="23.25" customHeight="1">
      <c r="B730" s="114"/>
    </row>
    <row r="731" ht="23.25" customHeight="1">
      <c r="B731" s="114"/>
    </row>
    <row r="732" ht="23.25" customHeight="1">
      <c r="B732" s="114"/>
    </row>
    <row r="733" ht="23.25" customHeight="1">
      <c r="B733" s="114"/>
    </row>
    <row r="734" ht="23.25" customHeight="1">
      <c r="B734" s="114"/>
    </row>
    <row r="735" ht="23.25" customHeight="1">
      <c r="B735" s="114"/>
    </row>
    <row r="736" ht="23.25" customHeight="1">
      <c r="B736" s="114"/>
    </row>
    <row r="737" ht="23.25" customHeight="1">
      <c r="B737" s="114"/>
    </row>
    <row r="738" ht="23.25" customHeight="1">
      <c r="B738" s="114"/>
    </row>
    <row r="739" ht="23.25" customHeight="1">
      <c r="B739" s="114"/>
    </row>
    <row r="740" ht="23.25" customHeight="1">
      <c r="B740" s="114"/>
    </row>
    <row r="741" ht="23.25" customHeight="1">
      <c r="B741" s="114"/>
    </row>
    <row r="742" ht="23.25" customHeight="1">
      <c r="B742" s="114"/>
    </row>
    <row r="743" ht="23.25" customHeight="1">
      <c r="B743" s="114"/>
    </row>
    <row r="744" ht="23.25" customHeight="1">
      <c r="B744" s="114"/>
    </row>
    <row r="745" ht="23.25" customHeight="1">
      <c r="B745" s="114"/>
    </row>
    <row r="746" ht="23.25" customHeight="1">
      <c r="B746" s="114"/>
    </row>
    <row r="747" ht="23.25" customHeight="1">
      <c r="B747" s="114"/>
    </row>
    <row r="748" ht="23.25" customHeight="1">
      <c r="B748" s="114"/>
    </row>
    <row r="749" ht="23.25" customHeight="1">
      <c r="B749" s="114"/>
    </row>
    <row r="750" ht="23.25" customHeight="1">
      <c r="B750" s="114"/>
    </row>
    <row r="751" ht="23.25" customHeight="1">
      <c r="B751" s="114"/>
    </row>
    <row r="752" ht="23.25" customHeight="1">
      <c r="B752" s="114"/>
    </row>
    <row r="753" ht="23.25" customHeight="1">
      <c r="B753" s="114"/>
    </row>
    <row r="754" ht="23.25" customHeight="1">
      <c r="B754" s="114"/>
    </row>
    <row r="755" ht="23.25" customHeight="1">
      <c r="B755" s="114"/>
    </row>
    <row r="756" ht="23.25" customHeight="1">
      <c r="B756" s="114"/>
    </row>
    <row r="757" ht="23.25" customHeight="1">
      <c r="B757" s="114"/>
    </row>
    <row r="758" ht="23.25" customHeight="1">
      <c r="B758" s="114"/>
    </row>
    <row r="759" ht="23.25" customHeight="1">
      <c r="B759" s="114"/>
    </row>
    <row r="760" ht="23.25" customHeight="1">
      <c r="B760" s="114"/>
    </row>
    <row r="761" ht="23.25" customHeight="1">
      <c r="B761" s="114"/>
    </row>
    <row r="762" ht="23.25" customHeight="1">
      <c r="B762" s="114"/>
    </row>
    <row r="763" ht="23.25" customHeight="1">
      <c r="B763" s="114"/>
    </row>
    <row r="764" ht="23.25" customHeight="1">
      <c r="B764" s="114"/>
    </row>
    <row r="765" ht="23.25" customHeight="1">
      <c r="B765" s="114"/>
    </row>
    <row r="766" ht="23.25" customHeight="1">
      <c r="B766" s="114"/>
    </row>
    <row r="767" ht="23.25" customHeight="1">
      <c r="B767" s="114"/>
    </row>
    <row r="768" ht="23.25" customHeight="1">
      <c r="B768" s="114"/>
    </row>
    <row r="769" ht="23.25" customHeight="1">
      <c r="B769" s="114"/>
    </row>
    <row r="770" ht="23.25" customHeight="1">
      <c r="B770" s="114"/>
    </row>
    <row r="771" ht="23.25" customHeight="1">
      <c r="B771" s="114"/>
    </row>
    <row r="772" ht="23.25" customHeight="1">
      <c r="B772" s="114"/>
    </row>
    <row r="773" ht="23.25" customHeight="1">
      <c r="B773" s="114"/>
    </row>
    <row r="774" ht="23.25" customHeight="1">
      <c r="B774" s="114"/>
    </row>
    <row r="775" ht="23.25" customHeight="1">
      <c r="B775" s="114"/>
    </row>
    <row r="776" ht="23.25" customHeight="1">
      <c r="B776" s="114"/>
    </row>
    <row r="777" ht="23.25" customHeight="1">
      <c r="B777" s="114"/>
    </row>
    <row r="778" ht="23.25" customHeight="1">
      <c r="B778" s="114"/>
    </row>
    <row r="779" ht="23.25" customHeight="1">
      <c r="B779" s="114"/>
    </row>
    <row r="780" ht="23.25" customHeight="1">
      <c r="B780" s="114"/>
    </row>
    <row r="781" ht="23.25" customHeight="1">
      <c r="B781" s="114"/>
    </row>
    <row r="782" ht="23.25" customHeight="1">
      <c r="B782" s="114"/>
    </row>
    <row r="783" ht="23.25" customHeight="1">
      <c r="B783" s="114"/>
    </row>
    <row r="784" ht="23.25" customHeight="1">
      <c r="B784" s="114"/>
    </row>
    <row r="785" ht="23.25" customHeight="1">
      <c r="B785" s="114"/>
    </row>
    <row r="786" ht="23.25" customHeight="1">
      <c r="B786" s="114"/>
    </row>
    <row r="787" ht="23.25" customHeight="1">
      <c r="B787" s="114"/>
    </row>
    <row r="788" ht="23.25" customHeight="1">
      <c r="B788" s="114"/>
    </row>
    <row r="789" ht="23.25" customHeight="1">
      <c r="B789" s="114"/>
    </row>
    <row r="790" ht="23.25" customHeight="1">
      <c r="B790" s="114"/>
    </row>
    <row r="791" ht="23.25" customHeight="1">
      <c r="B791" s="114"/>
    </row>
    <row r="792" ht="23.25" customHeight="1">
      <c r="B792" s="114"/>
    </row>
    <row r="793" ht="23.25" customHeight="1">
      <c r="B793" s="114"/>
    </row>
    <row r="794" ht="23.25" customHeight="1">
      <c r="B794" s="114"/>
    </row>
    <row r="795" ht="23.25" customHeight="1">
      <c r="B795" s="114"/>
    </row>
    <row r="796" ht="23.25" customHeight="1">
      <c r="B796" s="114"/>
    </row>
    <row r="797" ht="23.25" customHeight="1">
      <c r="B797" s="114"/>
    </row>
    <row r="798" ht="23.25" customHeight="1">
      <c r="B798" s="114"/>
    </row>
    <row r="799" ht="23.25" customHeight="1">
      <c r="B799" s="114"/>
    </row>
    <row r="800" ht="23.25" customHeight="1">
      <c r="B800" s="114"/>
    </row>
    <row r="801" ht="23.25" customHeight="1">
      <c r="B801" s="114"/>
    </row>
    <row r="802" ht="23.25" customHeight="1">
      <c r="B802" s="114"/>
    </row>
    <row r="803" ht="23.25" customHeight="1">
      <c r="B803" s="114"/>
    </row>
    <row r="804" ht="23.25" customHeight="1">
      <c r="B804" s="114"/>
    </row>
    <row r="805" ht="23.25" customHeight="1">
      <c r="B805" s="114"/>
    </row>
    <row r="806" ht="23.25" customHeight="1">
      <c r="B806" s="114"/>
    </row>
    <row r="807" ht="23.25" customHeight="1">
      <c r="B807" s="114"/>
    </row>
    <row r="808" ht="23.25" customHeight="1">
      <c r="B808" s="114"/>
    </row>
    <row r="809" ht="23.25" customHeight="1">
      <c r="B809" s="114"/>
    </row>
    <row r="810" ht="23.25" customHeight="1">
      <c r="B810" s="114"/>
    </row>
    <row r="811" ht="23.25" customHeight="1">
      <c r="B811" s="114"/>
    </row>
    <row r="812" ht="23.25" customHeight="1">
      <c r="B812" s="114"/>
    </row>
    <row r="813" ht="23.25" customHeight="1">
      <c r="B813" s="114"/>
    </row>
    <row r="814" ht="23.25" customHeight="1">
      <c r="B814" s="114"/>
    </row>
    <row r="815" ht="23.25" customHeight="1">
      <c r="B815" s="114"/>
    </row>
    <row r="816" ht="23.25" customHeight="1">
      <c r="B816" s="114"/>
    </row>
    <row r="817" ht="23.25" customHeight="1">
      <c r="B817" s="114"/>
    </row>
    <row r="818" ht="23.25" customHeight="1">
      <c r="B818" s="114"/>
    </row>
    <row r="819" ht="23.25" customHeight="1">
      <c r="B819" s="114"/>
    </row>
    <row r="820" ht="23.25" customHeight="1">
      <c r="B820" s="114"/>
    </row>
    <row r="821" ht="23.25" customHeight="1">
      <c r="B821" s="114"/>
    </row>
    <row r="822" ht="23.25" customHeight="1">
      <c r="B822" s="114"/>
    </row>
    <row r="823" ht="23.25" customHeight="1">
      <c r="B823" s="114"/>
    </row>
    <row r="824" ht="23.25" customHeight="1">
      <c r="B824" s="114"/>
    </row>
    <row r="825" ht="23.25" customHeight="1">
      <c r="B825" s="114"/>
    </row>
    <row r="826" ht="23.25" customHeight="1">
      <c r="B826" s="114"/>
    </row>
    <row r="827" ht="23.25" customHeight="1">
      <c r="B827" s="114"/>
    </row>
    <row r="828" ht="23.25" customHeight="1">
      <c r="B828" s="114"/>
    </row>
    <row r="829" ht="23.25" customHeight="1">
      <c r="B829" s="114"/>
    </row>
    <row r="830" ht="23.25" customHeight="1">
      <c r="B830" s="114"/>
    </row>
    <row r="831" ht="23.25" customHeight="1">
      <c r="B831" s="114"/>
    </row>
    <row r="832" ht="23.25" customHeight="1">
      <c r="B832" s="114"/>
    </row>
    <row r="833" ht="23.25" customHeight="1">
      <c r="B833" s="114"/>
    </row>
    <row r="834" ht="23.25" customHeight="1">
      <c r="B834" s="114"/>
    </row>
    <row r="835" ht="23.25" customHeight="1">
      <c r="B835" s="114"/>
    </row>
    <row r="836" ht="23.25" customHeight="1">
      <c r="B836" s="114"/>
    </row>
    <row r="837" ht="23.25" customHeight="1">
      <c r="B837" s="114"/>
    </row>
    <row r="838" ht="23.25" customHeight="1">
      <c r="B838" s="114"/>
    </row>
    <row r="839" ht="23.25" customHeight="1">
      <c r="B839" s="114"/>
    </row>
    <row r="840" ht="23.25" customHeight="1">
      <c r="B840" s="114"/>
    </row>
    <row r="841" ht="23.25" customHeight="1">
      <c r="B841" s="114"/>
    </row>
    <row r="842" ht="23.25" customHeight="1">
      <c r="B842" s="114"/>
    </row>
    <row r="843" ht="23.25" customHeight="1">
      <c r="B843" s="114"/>
    </row>
    <row r="844" ht="23.25" customHeight="1">
      <c r="B844" s="114"/>
    </row>
    <row r="845" ht="23.25" customHeight="1">
      <c r="B845" s="114"/>
    </row>
    <row r="846" ht="23.25" customHeight="1">
      <c r="B846" s="114"/>
    </row>
    <row r="847" ht="23.25" customHeight="1">
      <c r="B847" s="114"/>
    </row>
    <row r="848" ht="23.25" customHeight="1">
      <c r="B848" s="114"/>
    </row>
    <row r="849" ht="23.25" customHeight="1">
      <c r="B849" s="114"/>
    </row>
    <row r="850" ht="23.25" customHeight="1">
      <c r="B850" s="114"/>
    </row>
    <row r="851" ht="23.25" customHeight="1">
      <c r="B851" s="114"/>
    </row>
    <row r="852" ht="23.25" customHeight="1">
      <c r="B852" s="114"/>
    </row>
    <row r="853" ht="23.25" customHeight="1">
      <c r="B853" s="114"/>
    </row>
    <row r="854" ht="23.25" customHeight="1">
      <c r="B854" s="114"/>
    </row>
    <row r="855" ht="23.25" customHeight="1">
      <c r="B855" s="114"/>
    </row>
    <row r="856" ht="23.25" customHeight="1">
      <c r="B856" s="114"/>
    </row>
    <row r="857" ht="23.25" customHeight="1">
      <c r="B857" s="114"/>
    </row>
    <row r="858" ht="23.25" customHeight="1">
      <c r="B858" s="114"/>
    </row>
    <row r="859" ht="23.25" customHeight="1">
      <c r="B859" s="114"/>
    </row>
    <row r="860" ht="23.25" customHeight="1">
      <c r="B860" s="114"/>
    </row>
    <row r="861" ht="23.25" customHeight="1">
      <c r="B861" s="114"/>
    </row>
    <row r="862" ht="23.25" customHeight="1">
      <c r="B862" s="114"/>
    </row>
    <row r="863" ht="23.25" customHeight="1">
      <c r="B863" s="114"/>
    </row>
    <row r="864" ht="23.25" customHeight="1">
      <c r="B864" s="114"/>
    </row>
    <row r="865" ht="23.25" customHeight="1">
      <c r="B865" s="114"/>
    </row>
    <row r="866" ht="23.25" customHeight="1">
      <c r="B866" s="114"/>
    </row>
    <row r="867" ht="23.25" customHeight="1">
      <c r="B867" s="114"/>
    </row>
    <row r="868" ht="23.25" customHeight="1">
      <c r="B868" s="114"/>
    </row>
    <row r="869" ht="23.25" customHeight="1">
      <c r="B869" s="114"/>
    </row>
    <row r="870" ht="23.25" customHeight="1">
      <c r="B870" s="114"/>
    </row>
    <row r="871" ht="23.25" customHeight="1">
      <c r="B871" s="114"/>
    </row>
    <row r="872" ht="23.25" customHeight="1">
      <c r="B872" s="114"/>
    </row>
    <row r="873" ht="23.25" customHeight="1">
      <c r="B873" s="114"/>
    </row>
    <row r="874" ht="23.25" customHeight="1">
      <c r="B874" s="114"/>
    </row>
    <row r="875" ht="23.25" customHeight="1">
      <c r="B875" s="114"/>
    </row>
    <row r="876" ht="23.25" customHeight="1">
      <c r="B876" s="114"/>
    </row>
    <row r="877" ht="23.25" customHeight="1">
      <c r="B877" s="114"/>
    </row>
    <row r="878" ht="23.25" customHeight="1">
      <c r="B878" s="114"/>
    </row>
    <row r="879" ht="23.25" customHeight="1">
      <c r="B879" s="114"/>
    </row>
    <row r="880" ht="23.25" customHeight="1">
      <c r="B880" s="114"/>
    </row>
    <row r="881" ht="23.25" customHeight="1">
      <c r="B881" s="114"/>
    </row>
    <row r="882" ht="23.25" customHeight="1">
      <c r="B882" s="114"/>
    </row>
    <row r="883" ht="23.25" customHeight="1">
      <c r="B883" s="114"/>
    </row>
    <row r="884" ht="23.25" customHeight="1">
      <c r="B884" s="114"/>
    </row>
    <row r="885" ht="23.25" customHeight="1">
      <c r="B885" s="114"/>
    </row>
    <row r="886" ht="23.25" customHeight="1">
      <c r="B886" s="114"/>
    </row>
    <row r="887" ht="23.25" customHeight="1">
      <c r="B887" s="114"/>
    </row>
    <row r="888" ht="23.25" customHeight="1">
      <c r="B888" s="114"/>
    </row>
    <row r="889" ht="23.25" customHeight="1">
      <c r="B889" s="114"/>
    </row>
    <row r="890" ht="23.25" customHeight="1">
      <c r="B890" s="114"/>
    </row>
    <row r="891" ht="23.25" customHeight="1">
      <c r="B891" s="114"/>
    </row>
    <row r="892" ht="23.25" customHeight="1">
      <c r="B892" s="114"/>
    </row>
    <row r="893" ht="23.25" customHeight="1">
      <c r="B893" s="114"/>
    </row>
    <row r="894" ht="23.25" customHeight="1">
      <c r="B894" s="114"/>
    </row>
    <row r="895" ht="23.25" customHeight="1">
      <c r="B895" s="114"/>
    </row>
    <row r="896" ht="23.25" customHeight="1">
      <c r="B896" s="114"/>
    </row>
    <row r="897" ht="23.25" customHeight="1">
      <c r="B897" s="114"/>
    </row>
    <row r="898" ht="23.25" customHeight="1">
      <c r="B898" s="114"/>
    </row>
    <row r="899" ht="23.25" customHeight="1">
      <c r="B899" s="114"/>
    </row>
    <row r="900" ht="23.25" customHeight="1">
      <c r="B900" s="114"/>
    </row>
    <row r="901" ht="23.25" customHeight="1">
      <c r="B901" s="114"/>
    </row>
    <row r="902" ht="23.25" customHeight="1">
      <c r="B902" s="114"/>
    </row>
    <row r="903" ht="23.25" customHeight="1">
      <c r="B903" s="114"/>
    </row>
    <row r="904" ht="23.25" customHeight="1">
      <c r="B904" s="114"/>
    </row>
    <row r="905" ht="23.25" customHeight="1">
      <c r="B905" s="114"/>
    </row>
    <row r="906" ht="23.25" customHeight="1">
      <c r="B906" s="114"/>
    </row>
    <row r="907" ht="23.25" customHeight="1">
      <c r="B907" s="114"/>
    </row>
    <row r="908" ht="23.25" customHeight="1">
      <c r="B908" s="114"/>
    </row>
    <row r="909" ht="23.25" customHeight="1">
      <c r="B909" s="114"/>
    </row>
    <row r="910" ht="23.25" customHeight="1">
      <c r="B910" s="114"/>
    </row>
    <row r="911" ht="23.25" customHeight="1">
      <c r="B911" s="114"/>
    </row>
    <row r="912" ht="23.25" customHeight="1">
      <c r="B912" s="114"/>
    </row>
    <row r="913" ht="23.25" customHeight="1">
      <c r="B913" s="114"/>
    </row>
    <row r="914" ht="23.25" customHeight="1">
      <c r="B914" s="114"/>
    </row>
    <row r="915" ht="23.25" customHeight="1">
      <c r="B915" s="114"/>
    </row>
    <row r="916" ht="23.25" customHeight="1">
      <c r="B916" s="114"/>
    </row>
    <row r="917" ht="23.25" customHeight="1">
      <c r="B917" s="114"/>
    </row>
    <row r="918" ht="23.25" customHeight="1">
      <c r="B918" s="114"/>
    </row>
    <row r="919" ht="23.25" customHeight="1">
      <c r="B919" s="114"/>
    </row>
    <row r="920" ht="23.25" customHeight="1">
      <c r="B920" s="114"/>
    </row>
    <row r="921" ht="23.25" customHeight="1">
      <c r="B921" s="114"/>
    </row>
    <row r="922" ht="23.25" customHeight="1">
      <c r="B922" s="114"/>
    </row>
    <row r="923" ht="23.25" customHeight="1">
      <c r="B923" s="114"/>
    </row>
    <row r="924" ht="23.25" customHeight="1">
      <c r="B924" s="114"/>
    </row>
    <row r="925" ht="23.25" customHeight="1">
      <c r="B925" s="114"/>
    </row>
    <row r="926" ht="23.25" customHeight="1">
      <c r="B926" s="114"/>
    </row>
    <row r="927" ht="23.25" customHeight="1">
      <c r="B927" s="114"/>
    </row>
    <row r="928" ht="23.25" customHeight="1">
      <c r="B928" s="114"/>
    </row>
    <row r="929" ht="23.25" customHeight="1">
      <c r="B929" s="114"/>
    </row>
    <row r="930" ht="23.25" customHeight="1">
      <c r="B930" s="114"/>
    </row>
    <row r="931" ht="23.25" customHeight="1">
      <c r="B931" s="114"/>
    </row>
    <row r="932" ht="23.25" customHeight="1">
      <c r="B932" s="114"/>
    </row>
    <row r="933" ht="23.25" customHeight="1">
      <c r="B933" s="114"/>
    </row>
    <row r="934" ht="23.25" customHeight="1">
      <c r="B934" s="114"/>
    </row>
    <row r="935" ht="23.25" customHeight="1">
      <c r="B935" s="114"/>
    </row>
    <row r="936" ht="23.25" customHeight="1">
      <c r="B936" s="114"/>
    </row>
    <row r="937" ht="23.25" customHeight="1">
      <c r="B937" s="114"/>
    </row>
    <row r="938" ht="23.25" customHeight="1">
      <c r="B938" s="114"/>
    </row>
    <row r="939" ht="23.25" customHeight="1">
      <c r="B939" s="114"/>
    </row>
    <row r="940" ht="23.25" customHeight="1">
      <c r="B940" s="114"/>
    </row>
    <row r="941" ht="23.25" customHeight="1">
      <c r="B941" s="114"/>
    </row>
    <row r="942" ht="23.25" customHeight="1">
      <c r="B942" s="114"/>
    </row>
    <row r="943" ht="23.25" customHeight="1">
      <c r="B943" s="114"/>
    </row>
    <row r="944" ht="23.25" customHeight="1">
      <c r="B944" s="114"/>
    </row>
    <row r="945" ht="23.25" customHeight="1">
      <c r="B945" s="114"/>
    </row>
    <row r="946" ht="23.25" customHeight="1">
      <c r="B946" s="114"/>
    </row>
    <row r="947" ht="23.25" customHeight="1">
      <c r="B947" s="114"/>
    </row>
    <row r="948" ht="23.25" customHeight="1">
      <c r="B948" s="114"/>
    </row>
    <row r="949" ht="23.25" customHeight="1">
      <c r="B949" s="114"/>
    </row>
    <row r="950" ht="23.25" customHeight="1">
      <c r="B950" s="114"/>
    </row>
    <row r="951" ht="23.25" customHeight="1">
      <c r="B951" s="114"/>
    </row>
    <row r="952" ht="23.25" customHeight="1">
      <c r="B952" s="114"/>
    </row>
    <row r="953" ht="23.25" customHeight="1">
      <c r="B953" s="114"/>
    </row>
    <row r="954" ht="23.25" customHeight="1">
      <c r="B954" s="114"/>
    </row>
    <row r="955" ht="23.25" customHeight="1">
      <c r="B955" s="114"/>
    </row>
    <row r="956" ht="23.25" customHeight="1">
      <c r="B956" s="114"/>
    </row>
    <row r="957" ht="23.25" customHeight="1">
      <c r="B957" s="114"/>
    </row>
    <row r="958" ht="23.25" customHeight="1">
      <c r="B958" s="114"/>
    </row>
    <row r="959" ht="23.25" customHeight="1">
      <c r="B959" s="114"/>
    </row>
    <row r="960" ht="23.25" customHeight="1">
      <c r="B960" s="114"/>
    </row>
    <row r="961" ht="23.25" customHeight="1">
      <c r="B961" s="114"/>
    </row>
    <row r="962" ht="23.25" customHeight="1">
      <c r="B962" s="114"/>
    </row>
    <row r="963" ht="23.25" customHeight="1">
      <c r="B963" s="114"/>
    </row>
    <row r="964" ht="23.25" customHeight="1">
      <c r="B964" s="114"/>
    </row>
    <row r="965" ht="23.25" customHeight="1">
      <c r="B965" s="114"/>
    </row>
    <row r="966" ht="23.25" customHeight="1">
      <c r="B966" s="114"/>
    </row>
    <row r="967" ht="23.25" customHeight="1">
      <c r="B967" s="114"/>
    </row>
    <row r="968" ht="23.25" customHeight="1">
      <c r="B968" s="114"/>
    </row>
    <row r="969" ht="23.25" customHeight="1">
      <c r="B969" s="114"/>
    </row>
    <row r="970" ht="23.25" customHeight="1">
      <c r="B970" s="114"/>
    </row>
    <row r="971" ht="23.25" customHeight="1">
      <c r="B971" s="114"/>
    </row>
    <row r="972" ht="23.25" customHeight="1">
      <c r="B972" s="114"/>
    </row>
    <row r="973" ht="23.25" customHeight="1">
      <c r="B973" s="114"/>
    </row>
    <row r="974" ht="23.25" customHeight="1">
      <c r="B974" s="114"/>
    </row>
    <row r="975" ht="23.25" customHeight="1">
      <c r="B975" s="114"/>
    </row>
    <row r="976" ht="23.25" customHeight="1">
      <c r="B976" s="114"/>
    </row>
    <row r="977" ht="23.25" customHeight="1">
      <c r="B977" s="114"/>
    </row>
    <row r="978" ht="23.25" customHeight="1">
      <c r="B978" s="114"/>
    </row>
    <row r="979" ht="23.25" customHeight="1">
      <c r="B979" s="114"/>
    </row>
    <row r="980" ht="23.25" customHeight="1">
      <c r="B980" s="114"/>
    </row>
    <row r="981" ht="23.25" customHeight="1">
      <c r="B981" s="114"/>
    </row>
    <row r="982" ht="23.25" customHeight="1">
      <c r="B982" s="114"/>
    </row>
    <row r="983" ht="23.25" customHeight="1">
      <c r="B983" s="114"/>
    </row>
    <row r="984" ht="23.25" customHeight="1">
      <c r="B984" s="114"/>
    </row>
    <row r="985" ht="23.25" customHeight="1">
      <c r="B985" s="114"/>
    </row>
    <row r="986" ht="23.25" customHeight="1">
      <c r="B986" s="114"/>
    </row>
    <row r="987" ht="23.25" customHeight="1">
      <c r="B987" s="114"/>
    </row>
    <row r="988" ht="23.25" customHeight="1">
      <c r="B988" s="114"/>
    </row>
    <row r="989" ht="23.25" customHeight="1">
      <c r="B989" s="114"/>
    </row>
    <row r="990" ht="23.25" customHeight="1">
      <c r="B990" s="114"/>
    </row>
    <row r="991" ht="23.25" customHeight="1">
      <c r="B991" s="114"/>
    </row>
    <row r="992" ht="23.25" customHeight="1">
      <c r="B992" s="114"/>
    </row>
    <row r="993" ht="23.25" customHeight="1">
      <c r="B993" s="114"/>
    </row>
    <row r="994" ht="23.25" customHeight="1">
      <c r="B994" s="114"/>
    </row>
    <row r="995" ht="23.25" customHeight="1">
      <c r="B995" s="114"/>
    </row>
    <row r="996" ht="23.25" customHeight="1">
      <c r="B996" s="114"/>
    </row>
    <row r="997" ht="23.25" customHeight="1">
      <c r="B997" s="114"/>
    </row>
    <row r="998" ht="23.25" customHeight="1">
      <c r="B998" s="114"/>
    </row>
    <row r="999" ht="23.25" customHeight="1">
      <c r="B999" s="114"/>
    </row>
    <row r="1000" ht="23.25" customHeight="1">
      <c r="B1000" s="114"/>
    </row>
  </sheetData>
  <hyperlinks>
    <hyperlink r:id="rId1" ref="B6"/>
    <hyperlink r:id="rId2" ref="B13"/>
    <hyperlink r:id="rId3" ref="B15"/>
  </hyperlinks>
  <printOptions/>
  <pageMargins bottom="0.75" footer="0.0" header="0.0" left="0.7" right="0.7" top="0.75"/>
  <pageSetup paperSize="9" orientation="portrait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115" t="s">
        <v>1714</v>
      </c>
      <c r="C1" s="116"/>
      <c r="D1" s="117">
        <v>432.0</v>
      </c>
      <c r="E1" s="118">
        <v>430.0</v>
      </c>
      <c r="F1" s="118">
        <v>429.0</v>
      </c>
      <c r="G1" s="118">
        <v>420.0</v>
      </c>
      <c r="H1" s="118">
        <v>430.0</v>
      </c>
      <c r="I1" s="119">
        <v>464.0</v>
      </c>
      <c r="J1" s="118">
        <v>350.0</v>
      </c>
      <c r="K1" s="118">
        <v>398.0</v>
      </c>
      <c r="L1" s="118">
        <v>385.0</v>
      </c>
      <c r="M1" s="118">
        <v>395.0</v>
      </c>
      <c r="N1" s="118">
        <v>384.0</v>
      </c>
      <c r="O1" s="120">
        <v>418.0</v>
      </c>
      <c r="P1" s="117">
        <v>409.0</v>
      </c>
      <c r="Q1" s="118">
        <v>397.0</v>
      </c>
      <c r="R1" s="118">
        <v>407.0</v>
      </c>
      <c r="S1" s="118">
        <v>403.0</v>
      </c>
      <c r="T1" s="119">
        <v>420.0</v>
      </c>
      <c r="U1" s="119">
        <f t="shared" ref="U1:V1" si="1">SUM(U2:U636)</f>
        <v>465</v>
      </c>
      <c r="V1" s="119">
        <f t="shared" si="1"/>
        <v>420</v>
      </c>
    </row>
    <row r="2">
      <c r="A2" s="121" t="s">
        <v>1715</v>
      </c>
      <c r="B2" s="122" t="s">
        <v>2</v>
      </c>
      <c r="C2" s="123"/>
      <c r="D2" s="124" t="s">
        <v>1716</v>
      </c>
      <c r="E2" s="125" t="s">
        <v>1717</v>
      </c>
      <c r="F2" s="125" t="s">
        <v>1718</v>
      </c>
      <c r="G2" s="125" t="s">
        <v>1719</v>
      </c>
      <c r="H2" s="125" t="s">
        <v>1720</v>
      </c>
      <c r="I2" s="126" t="s">
        <v>1721</v>
      </c>
      <c r="J2" s="125" t="s">
        <v>1722</v>
      </c>
      <c r="K2" s="125" t="s">
        <v>1723</v>
      </c>
      <c r="L2" s="125" t="s">
        <v>1724</v>
      </c>
      <c r="M2" s="125" t="s">
        <v>1725</v>
      </c>
      <c r="N2" s="125" t="s">
        <v>1726</v>
      </c>
      <c r="O2" s="127" t="s">
        <v>1727</v>
      </c>
      <c r="P2" s="124" t="s">
        <v>1728</v>
      </c>
      <c r="Q2" s="125" t="s">
        <v>1729</v>
      </c>
      <c r="R2" s="125" t="s">
        <v>1730</v>
      </c>
      <c r="S2" s="125" t="s">
        <v>1731</v>
      </c>
      <c r="T2" s="126" t="s">
        <v>1732</v>
      </c>
      <c r="U2" s="128" t="s">
        <v>8</v>
      </c>
      <c r="V2" s="128" t="s">
        <v>9</v>
      </c>
    </row>
    <row r="3">
      <c r="A3" s="129">
        <v>0.0</v>
      </c>
      <c r="B3" s="130" t="s">
        <v>1733</v>
      </c>
      <c r="C3" s="131">
        <v>1.0</v>
      </c>
      <c r="D3" s="132"/>
      <c r="E3" s="133"/>
      <c r="F3" s="133"/>
      <c r="G3" s="133"/>
      <c r="H3" s="133"/>
      <c r="I3" s="134"/>
      <c r="J3" s="133"/>
      <c r="K3" s="133"/>
      <c r="L3" s="133"/>
      <c r="M3" s="133"/>
      <c r="N3" s="133"/>
      <c r="O3" s="135"/>
      <c r="P3" s="132"/>
      <c r="Q3" s="133"/>
      <c r="R3" s="133"/>
      <c r="S3" s="133"/>
      <c r="T3" s="134"/>
    </row>
    <row r="4">
      <c r="A4" s="136">
        <v>1000000.0</v>
      </c>
      <c r="B4" s="137" t="s">
        <v>1734</v>
      </c>
      <c r="C4" s="131">
        <v>1.0</v>
      </c>
      <c r="D4" s="138"/>
      <c r="E4" s="139"/>
      <c r="F4" s="139"/>
      <c r="G4" s="139"/>
      <c r="H4" s="139"/>
      <c r="I4" s="140"/>
      <c r="J4" s="139"/>
      <c r="K4" s="139"/>
      <c r="L4" s="139"/>
      <c r="M4" s="139"/>
      <c r="N4" s="139"/>
      <c r="O4" s="141"/>
      <c r="P4" s="138"/>
      <c r="Q4" s="139"/>
      <c r="R4" s="139"/>
      <c r="S4" s="139"/>
      <c r="T4" s="140"/>
    </row>
    <row r="5">
      <c r="A5" s="142">
        <v>1100000.0</v>
      </c>
      <c r="B5" s="143" t="s">
        <v>1735</v>
      </c>
      <c r="C5" s="144">
        <v>2.0</v>
      </c>
      <c r="D5" s="145"/>
      <c r="E5" s="146"/>
      <c r="F5" s="146"/>
      <c r="G5" s="146"/>
      <c r="H5" s="146"/>
      <c r="I5" s="147"/>
      <c r="J5" s="146"/>
      <c r="K5" s="146"/>
      <c r="L5" s="146"/>
      <c r="M5" s="146"/>
      <c r="N5" s="146"/>
      <c r="O5" s="148"/>
      <c r="P5" s="145"/>
      <c r="Q5" s="146"/>
      <c r="R5" s="146"/>
      <c r="S5" s="146"/>
      <c r="T5" s="147"/>
    </row>
    <row r="6">
      <c r="A6" s="149">
        <v>1110000.0</v>
      </c>
      <c r="B6" s="150" t="s">
        <v>1736</v>
      </c>
      <c r="C6" s="151">
        <v>3.0</v>
      </c>
      <c r="D6" s="152"/>
      <c r="E6" s="153"/>
      <c r="F6" s="153"/>
      <c r="G6" s="153"/>
      <c r="H6" s="153"/>
      <c r="I6" s="154"/>
      <c r="J6" s="153"/>
      <c r="K6" s="153"/>
      <c r="L6" s="153"/>
      <c r="M6" s="153"/>
      <c r="N6" s="153"/>
      <c r="O6" s="155"/>
      <c r="P6" s="152"/>
      <c r="Q6" s="153"/>
      <c r="R6" s="153"/>
      <c r="S6" s="153"/>
      <c r="T6" s="154"/>
    </row>
    <row r="7">
      <c r="A7" s="156">
        <v>1111000.0</v>
      </c>
      <c r="B7" s="157" t="s">
        <v>1737</v>
      </c>
      <c r="C7" s="158">
        <v>4.0</v>
      </c>
      <c r="D7" s="159"/>
      <c r="E7" s="160"/>
      <c r="F7" s="160"/>
      <c r="G7" s="160"/>
      <c r="H7" s="160"/>
      <c r="I7" s="161"/>
      <c r="J7" s="160"/>
      <c r="K7" s="160"/>
      <c r="L7" s="160"/>
      <c r="M7" s="160"/>
      <c r="N7" s="160"/>
      <c r="O7" s="162"/>
      <c r="P7" s="159"/>
      <c r="Q7" s="160"/>
      <c r="R7" s="160"/>
      <c r="S7" s="160"/>
      <c r="T7" s="161"/>
    </row>
    <row r="8">
      <c r="A8" s="163">
        <v>1111001.0</v>
      </c>
      <c r="B8" s="164" t="s">
        <v>15</v>
      </c>
      <c r="C8" s="165">
        <v>7.0</v>
      </c>
      <c r="D8" s="166">
        <v>1.0</v>
      </c>
      <c r="E8" s="167">
        <v>1.0</v>
      </c>
      <c r="F8" s="167">
        <v>1.0</v>
      </c>
      <c r="G8" s="167">
        <v>1.0</v>
      </c>
      <c r="H8" s="167">
        <v>1.0</v>
      </c>
      <c r="I8" s="168">
        <v>1.0</v>
      </c>
      <c r="J8" s="167">
        <v>1.0</v>
      </c>
      <c r="K8" s="167">
        <v>1.0</v>
      </c>
      <c r="L8" s="167">
        <v>1.0</v>
      </c>
      <c r="M8" s="167">
        <v>1.0</v>
      </c>
      <c r="N8" s="167">
        <v>1.0</v>
      </c>
      <c r="O8" s="169">
        <v>1.0</v>
      </c>
      <c r="P8" s="166">
        <v>1.0</v>
      </c>
      <c r="Q8" s="167">
        <v>1.0</v>
      </c>
      <c r="R8" s="167">
        <v>1.0</v>
      </c>
      <c r="S8" s="167">
        <v>1.0</v>
      </c>
      <c r="T8" s="168">
        <v>1.0</v>
      </c>
      <c r="U8" s="170">
        <f t="shared" ref="U8:U9" si="2">if(I8+O8&gt;0,1,"")</f>
        <v>1</v>
      </c>
      <c r="V8" s="170">
        <f t="shared" ref="V8:V9" si="3">if(T8&gt;0,1,"")</f>
        <v>1</v>
      </c>
    </row>
    <row r="9">
      <c r="A9" s="163">
        <v>1111002.0</v>
      </c>
      <c r="B9" s="164" t="s">
        <v>22</v>
      </c>
      <c r="C9" s="165">
        <v>7.0</v>
      </c>
      <c r="D9" s="166">
        <v>1.0</v>
      </c>
      <c r="E9" s="167">
        <v>1.0</v>
      </c>
      <c r="F9" s="167">
        <v>1.0</v>
      </c>
      <c r="G9" s="167">
        <v>1.0</v>
      </c>
      <c r="H9" s="167">
        <v>1.0</v>
      </c>
      <c r="I9" s="168">
        <v>1.0</v>
      </c>
      <c r="J9" s="167">
        <v>1.0</v>
      </c>
      <c r="K9" s="167">
        <v>1.0</v>
      </c>
      <c r="L9" s="167">
        <v>1.0</v>
      </c>
      <c r="M9" s="167">
        <v>1.0</v>
      </c>
      <c r="N9" s="167">
        <v>1.0</v>
      </c>
      <c r="O9" s="169">
        <v>1.0</v>
      </c>
      <c r="P9" s="166">
        <v>1.0</v>
      </c>
      <c r="Q9" s="167">
        <v>1.0</v>
      </c>
      <c r="R9" s="167">
        <v>1.0</v>
      </c>
      <c r="S9" s="167">
        <v>1.0</v>
      </c>
      <c r="T9" s="168">
        <v>1.0</v>
      </c>
      <c r="U9" s="170">
        <f t="shared" si="2"/>
        <v>1</v>
      </c>
      <c r="V9" s="170">
        <f t="shared" si="3"/>
        <v>1</v>
      </c>
    </row>
    <row r="10">
      <c r="A10" s="156">
        <v>1112000.0</v>
      </c>
      <c r="B10" s="157" t="s">
        <v>1738</v>
      </c>
      <c r="C10" s="158">
        <v>4.0</v>
      </c>
      <c r="D10" s="159"/>
      <c r="E10" s="160"/>
      <c r="F10" s="160"/>
      <c r="G10" s="160"/>
      <c r="H10" s="160"/>
      <c r="I10" s="161"/>
      <c r="J10" s="160"/>
      <c r="K10" s="160"/>
      <c r="L10" s="160"/>
      <c r="M10" s="160"/>
      <c r="N10" s="160"/>
      <c r="O10" s="162"/>
      <c r="P10" s="159"/>
      <c r="Q10" s="160"/>
      <c r="R10" s="160"/>
      <c r="S10" s="160"/>
      <c r="T10" s="161"/>
    </row>
    <row r="11">
      <c r="A11" s="171">
        <v>1112100.0</v>
      </c>
      <c r="B11" s="172" t="s">
        <v>1739</v>
      </c>
      <c r="C11" s="173">
        <v>5.0</v>
      </c>
      <c r="D11" s="174"/>
      <c r="E11" s="175"/>
      <c r="F11" s="175"/>
      <c r="G11" s="175"/>
      <c r="H11" s="175"/>
      <c r="I11" s="176"/>
      <c r="J11" s="175"/>
      <c r="K11" s="175"/>
      <c r="L11" s="175"/>
      <c r="M11" s="175"/>
      <c r="N11" s="175"/>
      <c r="O11" s="177"/>
      <c r="P11" s="174"/>
      <c r="Q11" s="175"/>
      <c r="R11" s="175"/>
      <c r="S11" s="175"/>
      <c r="T11" s="176"/>
    </row>
    <row r="12">
      <c r="A12" s="163">
        <v>1112104.0</v>
      </c>
      <c r="B12" s="164" t="s">
        <v>37</v>
      </c>
      <c r="C12" s="165">
        <v>7.0</v>
      </c>
      <c r="D12" s="166">
        <v>1.0</v>
      </c>
      <c r="E12" s="167">
        <v>1.0</v>
      </c>
      <c r="F12" s="167">
        <v>1.0</v>
      </c>
      <c r="G12" s="167">
        <v>1.0</v>
      </c>
      <c r="H12" s="167">
        <v>1.0</v>
      </c>
      <c r="I12" s="168">
        <v>1.0</v>
      </c>
      <c r="J12" s="167">
        <v>1.0</v>
      </c>
      <c r="K12" s="167">
        <v>1.0</v>
      </c>
      <c r="L12" s="167">
        <v>1.0</v>
      </c>
      <c r="M12" s="167">
        <v>1.0</v>
      </c>
      <c r="N12" s="167">
        <v>1.0</v>
      </c>
      <c r="O12" s="169">
        <v>1.0</v>
      </c>
      <c r="P12" s="166">
        <v>1.0</v>
      </c>
      <c r="Q12" s="167">
        <v>1.0</v>
      </c>
      <c r="R12" s="167">
        <v>1.0</v>
      </c>
      <c r="S12" s="167">
        <v>1.0</v>
      </c>
      <c r="T12" s="168">
        <v>1.0</v>
      </c>
      <c r="U12" s="170">
        <f>if(I12+O12&gt;0,1,"")</f>
        <v>1</v>
      </c>
      <c r="V12" s="170">
        <f>if(T12&gt;0,1,"")</f>
        <v>1</v>
      </c>
    </row>
    <row r="13">
      <c r="A13" s="171">
        <v>1112200.0</v>
      </c>
      <c r="B13" s="172" t="s">
        <v>1740</v>
      </c>
      <c r="C13" s="173">
        <v>5.0</v>
      </c>
      <c r="D13" s="174"/>
      <c r="E13" s="175"/>
      <c r="F13" s="175"/>
      <c r="G13" s="175"/>
      <c r="H13" s="175"/>
      <c r="I13" s="176"/>
      <c r="J13" s="175"/>
      <c r="K13" s="175"/>
      <c r="L13" s="175"/>
      <c r="M13" s="175"/>
      <c r="N13" s="175"/>
      <c r="O13" s="177"/>
      <c r="P13" s="174"/>
      <c r="Q13" s="175"/>
      <c r="R13" s="175"/>
      <c r="S13" s="175"/>
      <c r="T13" s="176"/>
    </row>
    <row r="14">
      <c r="A14" s="163">
        <v>1112202.0</v>
      </c>
      <c r="B14" s="164" t="s">
        <v>44</v>
      </c>
      <c r="C14" s="165">
        <v>7.0</v>
      </c>
      <c r="D14" s="166">
        <v>1.0</v>
      </c>
      <c r="E14" s="167">
        <v>1.0</v>
      </c>
      <c r="F14" s="167">
        <v>1.0</v>
      </c>
      <c r="G14" s="167">
        <v>1.0</v>
      </c>
      <c r="H14" s="167">
        <v>1.0</v>
      </c>
      <c r="I14" s="168">
        <v>1.0</v>
      </c>
      <c r="J14" s="167">
        <v>1.0</v>
      </c>
      <c r="K14" s="167">
        <v>1.0</v>
      </c>
      <c r="L14" s="167">
        <v>1.0</v>
      </c>
      <c r="M14" s="167">
        <v>1.0</v>
      </c>
      <c r="N14" s="167">
        <v>1.0</v>
      </c>
      <c r="O14" s="169">
        <v>1.0</v>
      </c>
      <c r="P14" s="166">
        <v>1.0</v>
      </c>
      <c r="Q14" s="167">
        <v>1.0</v>
      </c>
      <c r="R14" s="167">
        <v>1.0</v>
      </c>
      <c r="S14" s="167">
        <v>1.0</v>
      </c>
      <c r="T14" s="168">
        <v>1.0</v>
      </c>
      <c r="U14" s="170">
        <f t="shared" ref="U14:U18" si="4">if(I14+O14&gt;0,1,"")</f>
        <v>1</v>
      </c>
      <c r="V14" s="170">
        <f t="shared" ref="V14:V18" si="5">if(T14&gt;0,1,"")</f>
        <v>1</v>
      </c>
    </row>
    <row r="15">
      <c r="A15" s="163">
        <v>1112203.0</v>
      </c>
      <c r="B15" s="164" t="s">
        <v>48</v>
      </c>
      <c r="C15" s="165">
        <v>7.0</v>
      </c>
      <c r="D15" s="166">
        <v>1.0</v>
      </c>
      <c r="E15" s="167">
        <v>1.0</v>
      </c>
      <c r="F15" s="167">
        <v>1.0</v>
      </c>
      <c r="G15" s="167">
        <v>1.0</v>
      </c>
      <c r="H15" s="167">
        <v>1.0</v>
      </c>
      <c r="I15" s="168">
        <v>1.0</v>
      </c>
      <c r="J15" s="167">
        <v>1.0</v>
      </c>
      <c r="K15" s="167">
        <v>1.0</v>
      </c>
      <c r="L15" s="167">
        <v>1.0</v>
      </c>
      <c r="M15" s="167">
        <v>1.0</v>
      </c>
      <c r="N15" s="167">
        <v>1.0</v>
      </c>
      <c r="O15" s="169">
        <v>1.0</v>
      </c>
      <c r="P15" s="166">
        <v>1.0</v>
      </c>
      <c r="Q15" s="167">
        <v>1.0</v>
      </c>
      <c r="R15" s="167">
        <v>1.0</v>
      </c>
      <c r="S15" s="167">
        <v>1.0</v>
      </c>
      <c r="T15" s="168">
        <v>1.0</v>
      </c>
      <c r="U15" s="170">
        <f t="shared" si="4"/>
        <v>1</v>
      </c>
      <c r="V15" s="170">
        <f t="shared" si="5"/>
        <v>1</v>
      </c>
    </row>
    <row r="16">
      <c r="A16" s="163">
        <v>1112205.0</v>
      </c>
      <c r="B16" s="164" t="s">
        <v>55</v>
      </c>
      <c r="C16" s="165">
        <v>7.0</v>
      </c>
      <c r="D16" s="166">
        <v>1.0</v>
      </c>
      <c r="E16" s="167">
        <v>1.0</v>
      </c>
      <c r="F16" s="167">
        <v>1.0</v>
      </c>
      <c r="G16" s="167">
        <v>1.0</v>
      </c>
      <c r="H16" s="167">
        <v>1.0</v>
      </c>
      <c r="I16" s="168">
        <v>1.0</v>
      </c>
      <c r="J16" s="167">
        <v>1.0</v>
      </c>
      <c r="K16" s="167">
        <v>1.0</v>
      </c>
      <c r="L16" s="167">
        <v>1.0</v>
      </c>
      <c r="M16" s="167">
        <v>1.0</v>
      </c>
      <c r="N16" s="167">
        <v>1.0</v>
      </c>
      <c r="O16" s="169">
        <v>1.0</v>
      </c>
      <c r="P16" s="166">
        <v>1.0</v>
      </c>
      <c r="Q16" s="167">
        <v>1.0</v>
      </c>
      <c r="R16" s="167">
        <v>1.0</v>
      </c>
      <c r="S16" s="167">
        <v>1.0</v>
      </c>
      <c r="T16" s="168">
        <v>1.0</v>
      </c>
      <c r="U16" s="170">
        <f t="shared" si="4"/>
        <v>1</v>
      </c>
      <c r="V16" s="170">
        <f t="shared" si="5"/>
        <v>1</v>
      </c>
    </row>
    <row r="17">
      <c r="A17" s="163">
        <v>1112207.0</v>
      </c>
      <c r="B17" s="164" t="s">
        <v>62</v>
      </c>
      <c r="C17" s="165">
        <v>7.0</v>
      </c>
      <c r="D17" s="166">
        <v>1.0</v>
      </c>
      <c r="E17" s="167">
        <v>1.0</v>
      </c>
      <c r="F17" s="167">
        <v>1.0</v>
      </c>
      <c r="G17" s="167">
        <v>1.0</v>
      </c>
      <c r="H17" s="167">
        <v>1.0</v>
      </c>
      <c r="I17" s="168">
        <v>1.0</v>
      </c>
      <c r="J17" s="167">
        <v>1.0</v>
      </c>
      <c r="K17" s="167">
        <v>1.0</v>
      </c>
      <c r="L17" s="167">
        <v>1.0</v>
      </c>
      <c r="M17" s="167">
        <v>1.0</v>
      </c>
      <c r="N17" s="167">
        <v>1.0</v>
      </c>
      <c r="O17" s="169">
        <v>1.0</v>
      </c>
      <c r="P17" s="166">
        <v>1.0</v>
      </c>
      <c r="Q17" s="167">
        <v>1.0</v>
      </c>
      <c r="R17" s="167">
        <v>1.0</v>
      </c>
      <c r="S17" s="167">
        <v>1.0</v>
      </c>
      <c r="T17" s="168">
        <v>1.0</v>
      </c>
      <c r="U17" s="170">
        <f t="shared" si="4"/>
        <v>1</v>
      </c>
      <c r="V17" s="170">
        <f t="shared" si="5"/>
        <v>1</v>
      </c>
    </row>
    <row r="18">
      <c r="A18" s="163">
        <v>1112210.0</v>
      </c>
      <c r="B18" s="164" t="s">
        <v>71</v>
      </c>
      <c r="C18" s="165">
        <v>7.0</v>
      </c>
      <c r="D18" s="166">
        <v>1.0</v>
      </c>
      <c r="E18" s="167">
        <v>1.0</v>
      </c>
      <c r="F18" s="167">
        <v>1.0</v>
      </c>
      <c r="G18" s="167">
        <v>1.0</v>
      </c>
      <c r="H18" s="167">
        <v>1.0</v>
      </c>
      <c r="I18" s="168">
        <v>1.0</v>
      </c>
      <c r="J18" s="167">
        <v>1.0</v>
      </c>
      <c r="K18" s="167">
        <v>1.0</v>
      </c>
      <c r="L18" s="167">
        <v>1.0</v>
      </c>
      <c r="M18" s="167">
        <v>1.0</v>
      </c>
      <c r="N18" s="167">
        <v>1.0</v>
      </c>
      <c r="O18" s="169">
        <v>1.0</v>
      </c>
      <c r="P18" s="166">
        <v>1.0</v>
      </c>
      <c r="Q18" s="167">
        <v>1.0</v>
      </c>
      <c r="R18" s="167">
        <v>1.0</v>
      </c>
      <c r="S18" s="167">
        <v>1.0</v>
      </c>
      <c r="T18" s="168">
        <v>1.0</v>
      </c>
      <c r="U18" s="170">
        <f t="shared" si="4"/>
        <v>1</v>
      </c>
      <c r="V18" s="170">
        <f t="shared" si="5"/>
        <v>1</v>
      </c>
    </row>
    <row r="19">
      <c r="A19" s="149">
        <v>1120000.0</v>
      </c>
      <c r="B19" s="150" t="s">
        <v>1741</v>
      </c>
      <c r="C19" s="151">
        <v>3.0</v>
      </c>
      <c r="D19" s="152"/>
      <c r="E19" s="153"/>
      <c r="F19" s="153"/>
      <c r="G19" s="153"/>
      <c r="H19" s="153"/>
      <c r="I19" s="154"/>
      <c r="J19" s="153"/>
      <c r="K19" s="153"/>
      <c r="L19" s="153"/>
      <c r="M19" s="153"/>
      <c r="N19" s="153"/>
      <c r="O19" s="155"/>
      <c r="P19" s="152"/>
      <c r="Q19" s="153"/>
      <c r="R19" s="153"/>
      <c r="S19" s="153"/>
      <c r="T19" s="154"/>
    </row>
    <row r="20">
      <c r="A20" s="156">
        <v>1121000.0</v>
      </c>
      <c r="B20" s="157" t="s">
        <v>1742</v>
      </c>
      <c r="C20" s="158">
        <v>4.0</v>
      </c>
      <c r="D20" s="159"/>
      <c r="E20" s="160"/>
      <c r="F20" s="160"/>
      <c r="G20" s="160"/>
      <c r="H20" s="160"/>
      <c r="I20" s="161"/>
      <c r="J20" s="160"/>
      <c r="K20" s="160"/>
      <c r="L20" s="160"/>
      <c r="M20" s="160"/>
      <c r="N20" s="160"/>
      <c r="O20" s="162"/>
      <c r="P20" s="159"/>
      <c r="Q20" s="160"/>
      <c r="R20" s="160"/>
      <c r="S20" s="160"/>
      <c r="T20" s="161"/>
    </row>
    <row r="21">
      <c r="A21" s="171">
        <v>1121100.0</v>
      </c>
      <c r="B21" s="172" t="s">
        <v>1743</v>
      </c>
      <c r="C21" s="173">
        <v>5.0</v>
      </c>
      <c r="D21" s="174"/>
      <c r="E21" s="175"/>
      <c r="F21" s="175"/>
      <c r="G21" s="175"/>
      <c r="H21" s="175"/>
      <c r="I21" s="176"/>
      <c r="J21" s="175"/>
      <c r="K21" s="175"/>
      <c r="L21" s="175"/>
      <c r="M21" s="175"/>
      <c r="N21" s="175"/>
      <c r="O21" s="177"/>
      <c r="P21" s="174"/>
      <c r="Q21" s="175"/>
      <c r="R21" s="175"/>
      <c r="S21" s="175"/>
      <c r="T21" s="176"/>
    </row>
    <row r="22">
      <c r="A22" s="163">
        <v>1121101.0</v>
      </c>
      <c r="B22" s="164" t="s">
        <v>75</v>
      </c>
      <c r="C22" s="165">
        <v>7.0</v>
      </c>
      <c r="D22" s="166">
        <v>1.0</v>
      </c>
      <c r="E22" s="167">
        <v>1.0</v>
      </c>
      <c r="F22" s="167">
        <v>1.0</v>
      </c>
      <c r="G22" s="167">
        <v>1.0</v>
      </c>
      <c r="H22" s="167">
        <v>1.0</v>
      </c>
      <c r="I22" s="168">
        <v>1.0</v>
      </c>
      <c r="J22" s="167">
        <v>1.0</v>
      </c>
      <c r="K22" s="167">
        <v>1.0</v>
      </c>
      <c r="L22" s="167">
        <v>1.0</v>
      </c>
      <c r="M22" s="167">
        <v>1.0</v>
      </c>
      <c r="N22" s="167">
        <v>1.0</v>
      </c>
      <c r="O22" s="169">
        <v>1.0</v>
      </c>
      <c r="P22" s="166">
        <v>1.0</v>
      </c>
      <c r="Q22" s="167">
        <v>1.0</v>
      </c>
      <c r="R22" s="167">
        <v>1.0</v>
      </c>
      <c r="S22" s="167">
        <v>1.0</v>
      </c>
      <c r="T22" s="168">
        <v>1.0</v>
      </c>
      <c r="U22" s="170">
        <f t="shared" ref="U22:U27" si="6">if(I22+O22&gt;0,1,"")</f>
        <v>1</v>
      </c>
      <c r="V22" s="170">
        <f t="shared" ref="V22:V27" si="7">if(T22&gt;0,1,"")</f>
        <v>1</v>
      </c>
    </row>
    <row r="23">
      <c r="A23" s="163">
        <v>1121103.0</v>
      </c>
      <c r="B23" s="164" t="s">
        <v>82</v>
      </c>
      <c r="C23" s="165">
        <v>7.0</v>
      </c>
      <c r="D23" s="166">
        <v>1.0</v>
      </c>
      <c r="E23" s="167">
        <v>1.0</v>
      </c>
      <c r="F23" s="167">
        <v>1.0</v>
      </c>
      <c r="G23" s="167">
        <v>1.0</v>
      </c>
      <c r="H23" s="167">
        <v>1.0</v>
      </c>
      <c r="I23" s="168">
        <v>1.0</v>
      </c>
      <c r="J23" s="167">
        <v>1.0</v>
      </c>
      <c r="K23" s="167">
        <v>1.0</v>
      </c>
      <c r="L23" s="167">
        <v>1.0</v>
      </c>
      <c r="M23" s="167">
        <v>1.0</v>
      </c>
      <c r="N23" s="167">
        <v>1.0</v>
      </c>
      <c r="O23" s="169">
        <v>1.0</v>
      </c>
      <c r="P23" s="166">
        <v>1.0</v>
      </c>
      <c r="Q23" s="167">
        <v>1.0</v>
      </c>
      <c r="R23" s="167">
        <v>1.0</v>
      </c>
      <c r="S23" s="167">
        <v>1.0</v>
      </c>
      <c r="T23" s="168">
        <v>1.0</v>
      </c>
      <c r="U23" s="170">
        <f t="shared" si="6"/>
        <v>1</v>
      </c>
      <c r="V23" s="170">
        <f t="shared" si="7"/>
        <v>1</v>
      </c>
    </row>
    <row r="24">
      <c r="A24" s="163">
        <v>1121104.0</v>
      </c>
      <c r="B24" s="164" t="s">
        <v>86</v>
      </c>
      <c r="C24" s="165">
        <v>7.0</v>
      </c>
      <c r="D24" s="166">
        <v>1.0</v>
      </c>
      <c r="E24" s="167">
        <v>1.0</v>
      </c>
      <c r="F24" s="167">
        <v>1.0</v>
      </c>
      <c r="G24" s="167">
        <v>1.0</v>
      </c>
      <c r="H24" s="167">
        <v>1.0</v>
      </c>
      <c r="I24" s="168">
        <v>1.0</v>
      </c>
      <c r="J24" s="167">
        <v>1.0</v>
      </c>
      <c r="K24" s="167">
        <v>1.0</v>
      </c>
      <c r="L24" s="167">
        <v>1.0</v>
      </c>
      <c r="M24" s="167">
        <v>1.0</v>
      </c>
      <c r="N24" s="167">
        <v>1.0</v>
      </c>
      <c r="O24" s="169">
        <v>1.0</v>
      </c>
      <c r="P24" s="166">
        <v>1.0</v>
      </c>
      <c r="Q24" s="167">
        <v>1.0</v>
      </c>
      <c r="R24" s="167">
        <v>1.0</v>
      </c>
      <c r="S24" s="167">
        <v>1.0</v>
      </c>
      <c r="T24" s="168">
        <v>1.0</v>
      </c>
      <c r="U24" s="170">
        <f t="shared" si="6"/>
        <v>1</v>
      </c>
      <c r="V24" s="170">
        <f t="shared" si="7"/>
        <v>1</v>
      </c>
    </row>
    <row r="25">
      <c r="A25" s="163">
        <v>1121105.0</v>
      </c>
      <c r="B25" s="164" t="s">
        <v>89</v>
      </c>
      <c r="C25" s="165">
        <v>7.0</v>
      </c>
      <c r="D25" s="166">
        <v>1.0</v>
      </c>
      <c r="E25" s="167">
        <v>1.0</v>
      </c>
      <c r="F25" s="167">
        <v>1.0</v>
      </c>
      <c r="G25" s="167">
        <v>1.0</v>
      </c>
      <c r="H25" s="167">
        <v>1.0</v>
      </c>
      <c r="I25" s="168">
        <v>1.0</v>
      </c>
      <c r="J25" s="167">
        <v>1.0</v>
      </c>
      <c r="K25" s="167">
        <v>1.0</v>
      </c>
      <c r="L25" s="167">
        <v>1.0</v>
      </c>
      <c r="M25" s="167">
        <v>1.0</v>
      </c>
      <c r="N25" s="167">
        <v>1.0</v>
      </c>
      <c r="O25" s="169">
        <v>1.0</v>
      </c>
      <c r="P25" s="166">
        <v>1.0</v>
      </c>
      <c r="Q25" s="167">
        <v>1.0</v>
      </c>
      <c r="R25" s="167">
        <v>1.0</v>
      </c>
      <c r="S25" s="167">
        <v>1.0</v>
      </c>
      <c r="T25" s="168">
        <v>1.0</v>
      </c>
      <c r="U25" s="170">
        <f t="shared" si="6"/>
        <v>1</v>
      </c>
      <c r="V25" s="170">
        <f t="shared" si="7"/>
        <v>1</v>
      </c>
    </row>
    <row r="26">
      <c r="A26" s="163">
        <v>1121106.0</v>
      </c>
      <c r="B26" s="164" t="s">
        <v>92</v>
      </c>
      <c r="C26" s="165">
        <v>7.0</v>
      </c>
      <c r="D26" s="166">
        <v>1.0</v>
      </c>
      <c r="E26" s="167">
        <v>1.0</v>
      </c>
      <c r="F26" s="167">
        <v>1.0</v>
      </c>
      <c r="G26" s="167">
        <v>1.0</v>
      </c>
      <c r="H26" s="167">
        <v>1.0</v>
      </c>
      <c r="I26" s="168">
        <v>1.0</v>
      </c>
      <c r="J26" s="167">
        <v>1.0</v>
      </c>
      <c r="K26" s="167">
        <v>1.0</v>
      </c>
      <c r="L26" s="167">
        <v>1.0</v>
      </c>
      <c r="M26" s="167">
        <v>1.0</v>
      </c>
      <c r="N26" s="167">
        <v>1.0</v>
      </c>
      <c r="O26" s="169">
        <v>1.0</v>
      </c>
      <c r="P26" s="166">
        <v>1.0</v>
      </c>
      <c r="Q26" s="167">
        <v>1.0</v>
      </c>
      <c r="R26" s="167">
        <v>1.0</v>
      </c>
      <c r="S26" s="167">
        <v>1.0</v>
      </c>
      <c r="T26" s="168">
        <v>1.0</v>
      </c>
      <c r="U26" s="170">
        <f t="shared" si="6"/>
        <v>1</v>
      </c>
      <c r="V26" s="170">
        <f t="shared" si="7"/>
        <v>1</v>
      </c>
    </row>
    <row r="27">
      <c r="A27" s="163">
        <v>1121107.0</v>
      </c>
      <c r="B27" s="164" t="s">
        <v>94</v>
      </c>
      <c r="C27" s="165">
        <v>7.0</v>
      </c>
      <c r="D27" s="166">
        <v>1.0</v>
      </c>
      <c r="E27" s="167">
        <v>1.0</v>
      </c>
      <c r="F27" s="167">
        <v>1.0</v>
      </c>
      <c r="G27" s="167">
        <v>1.0</v>
      </c>
      <c r="H27" s="167">
        <v>1.0</v>
      </c>
      <c r="I27" s="168">
        <v>1.0</v>
      </c>
      <c r="J27" s="167">
        <v>1.0</v>
      </c>
      <c r="K27" s="167">
        <v>1.0</v>
      </c>
      <c r="L27" s="167">
        <v>1.0</v>
      </c>
      <c r="M27" s="167">
        <v>1.0</v>
      </c>
      <c r="N27" s="167">
        <v>1.0</v>
      </c>
      <c r="O27" s="169">
        <v>1.0</v>
      </c>
      <c r="P27" s="166">
        <v>1.0</v>
      </c>
      <c r="Q27" s="167">
        <v>1.0</v>
      </c>
      <c r="R27" s="167">
        <v>1.0</v>
      </c>
      <c r="S27" s="167">
        <v>1.0</v>
      </c>
      <c r="T27" s="168">
        <v>1.0</v>
      </c>
      <c r="U27" s="170">
        <f t="shared" si="6"/>
        <v>1</v>
      </c>
      <c r="V27" s="170">
        <f t="shared" si="7"/>
        <v>1</v>
      </c>
    </row>
    <row r="28">
      <c r="A28" s="171">
        <v>1121200.0</v>
      </c>
      <c r="B28" s="172" t="s">
        <v>1744</v>
      </c>
      <c r="C28" s="173">
        <v>5.0</v>
      </c>
      <c r="D28" s="174"/>
      <c r="E28" s="175"/>
      <c r="F28" s="175"/>
      <c r="G28" s="175"/>
      <c r="H28" s="175"/>
      <c r="I28" s="176"/>
      <c r="J28" s="175"/>
      <c r="K28" s="175"/>
      <c r="L28" s="175"/>
      <c r="M28" s="175"/>
      <c r="N28" s="175"/>
      <c r="O28" s="177"/>
      <c r="P28" s="174"/>
      <c r="Q28" s="175"/>
      <c r="R28" s="175"/>
      <c r="S28" s="175"/>
      <c r="T28" s="176"/>
    </row>
    <row r="29">
      <c r="A29" s="163">
        <v>1121203.0</v>
      </c>
      <c r="B29" s="164" t="s">
        <v>100</v>
      </c>
      <c r="C29" s="165">
        <v>7.0</v>
      </c>
      <c r="D29" s="166">
        <v>1.0</v>
      </c>
      <c r="E29" s="167">
        <v>1.0</v>
      </c>
      <c r="F29" s="178"/>
      <c r="G29" s="178"/>
      <c r="H29" s="178"/>
      <c r="I29" s="168">
        <v>1.0</v>
      </c>
      <c r="J29" s="178"/>
      <c r="K29" s="178"/>
      <c r="L29" s="178"/>
      <c r="M29" s="178"/>
      <c r="N29" s="178"/>
      <c r="O29" s="179"/>
      <c r="P29" s="180"/>
      <c r="Q29" s="178"/>
      <c r="R29" s="178"/>
      <c r="S29" s="178"/>
      <c r="T29" s="181"/>
      <c r="U29" s="170">
        <f t="shared" ref="U29:U35" si="8">if(I29+O29&gt;0,1,"")</f>
        <v>1</v>
      </c>
      <c r="V29" s="170" t="str">
        <f t="shared" ref="V29:V35" si="9">if(T29&gt;0,1,"")</f>
        <v/>
      </c>
    </row>
    <row r="30">
      <c r="A30" s="163">
        <v>1121204.0</v>
      </c>
      <c r="B30" s="164" t="s">
        <v>102</v>
      </c>
      <c r="C30" s="165">
        <v>7.0</v>
      </c>
      <c r="D30" s="166">
        <v>1.0</v>
      </c>
      <c r="E30" s="167">
        <v>1.0</v>
      </c>
      <c r="F30" s="167">
        <v>1.0</v>
      </c>
      <c r="G30" s="167">
        <v>1.0</v>
      </c>
      <c r="H30" s="167">
        <v>1.0</v>
      </c>
      <c r="I30" s="168">
        <v>1.0</v>
      </c>
      <c r="J30" s="167">
        <v>1.0</v>
      </c>
      <c r="K30" s="167">
        <v>1.0</v>
      </c>
      <c r="L30" s="167">
        <v>1.0</v>
      </c>
      <c r="M30" s="167">
        <v>1.0</v>
      </c>
      <c r="N30" s="167">
        <v>1.0</v>
      </c>
      <c r="O30" s="169">
        <v>1.0</v>
      </c>
      <c r="P30" s="166">
        <v>1.0</v>
      </c>
      <c r="Q30" s="167">
        <v>1.0</v>
      </c>
      <c r="R30" s="167">
        <v>1.0</v>
      </c>
      <c r="S30" s="167">
        <v>1.0</v>
      </c>
      <c r="T30" s="168">
        <v>1.0</v>
      </c>
      <c r="U30" s="170">
        <f t="shared" si="8"/>
        <v>1</v>
      </c>
      <c r="V30" s="170">
        <f t="shared" si="9"/>
        <v>1</v>
      </c>
    </row>
    <row r="31">
      <c r="A31" s="163">
        <v>1121205.0</v>
      </c>
      <c r="B31" s="164" t="s">
        <v>104</v>
      </c>
      <c r="C31" s="165">
        <v>7.0</v>
      </c>
      <c r="D31" s="166">
        <v>1.0</v>
      </c>
      <c r="E31" s="167">
        <v>1.0</v>
      </c>
      <c r="F31" s="167">
        <v>1.0</v>
      </c>
      <c r="G31" s="167">
        <v>1.0</v>
      </c>
      <c r="H31" s="167">
        <v>1.0</v>
      </c>
      <c r="I31" s="168">
        <v>1.0</v>
      </c>
      <c r="J31" s="167">
        <v>1.0</v>
      </c>
      <c r="K31" s="167">
        <v>1.0</v>
      </c>
      <c r="L31" s="167">
        <v>1.0</v>
      </c>
      <c r="M31" s="167">
        <v>1.0</v>
      </c>
      <c r="N31" s="167">
        <v>1.0</v>
      </c>
      <c r="O31" s="169">
        <v>1.0</v>
      </c>
      <c r="P31" s="166">
        <v>1.0</v>
      </c>
      <c r="Q31" s="167">
        <v>1.0</v>
      </c>
      <c r="R31" s="167">
        <v>1.0</v>
      </c>
      <c r="S31" s="167">
        <v>1.0</v>
      </c>
      <c r="T31" s="168">
        <v>1.0</v>
      </c>
      <c r="U31" s="170">
        <f t="shared" si="8"/>
        <v>1</v>
      </c>
      <c r="V31" s="170">
        <f t="shared" si="9"/>
        <v>1</v>
      </c>
    </row>
    <row r="32">
      <c r="A32" s="163">
        <v>1121207.0</v>
      </c>
      <c r="B32" s="164" t="s">
        <v>108</v>
      </c>
      <c r="C32" s="165">
        <v>7.0</v>
      </c>
      <c r="D32" s="166">
        <v>1.0</v>
      </c>
      <c r="E32" s="167">
        <v>1.0</v>
      </c>
      <c r="F32" s="167">
        <v>1.0</v>
      </c>
      <c r="G32" s="167">
        <v>1.0</v>
      </c>
      <c r="H32" s="167">
        <v>1.0</v>
      </c>
      <c r="I32" s="168">
        <v>1.0</v>
      </c>
      <c r="J32" s="167">
        <v>1.0</v>
      </c>
      <c r="K32" s="167">
        <v>1.0</v>
      </c>
      <c r="L32" s="167">
        <v>1.0</v>
      </c>
      <c r="M32" s="167">
        <v>1.0</v>
      </c>
      <c r="N32" s="167">
        <v>1.0</v>
      </c>
      <c r="O32" s="169">
        <v>1.0</v>
      </c>
      <c r="P32" s="166">
        <v>1.0</v>
      </c>
      <c r="Q32" s="167">
        <v>1.0</v>
      </c>
      <c r="R32" s="167">
        <v>1.0</v>
      </c>
      <c r="S32" s="167">
        <v>1.0</v>
      </c>
      <c r="T32" s="168">
        <v>1.0</v>
      </c>
      <c r="U32" s="170">
        <f t="shared" si="8"/>
        <v>1</v>
      </c>
      <c r="V32" s="170">
        <f t="shared" si="9"/>
        <v>1</v>
      </c>
    </row>
    <row r="33">
      <c r="A33" s="163">
        <v>1121209.0</v>
      </c>
      <c r="B33" s="164" t="s">
        <v>112</v>
      </c>
      <c r="C33" s="165">
        <v>7.0</v>
      </c>
      <c r="D33" s="166">
        <v>1.0</v>
      </c>
      <c r="E33" s="167">
        <v>1.0</v>
      </c>
      <c r="F33" s="167">
        <v>1.0</v>
      </c>
      <c r="G33" s="167">
        <v>1.0</v>
      </c>
      <c r="H33" s="178"/>
      <c r="I33" s="168">
        <v>1.0</v>
      </c>
      <c r="J33" s="167">
        <v>1.0</v>
      </c>
      <c r="K33" s="167">
        <v>1.0</v>
      </c>
      <c r="L33" s="167">
        <v>1.0</v>
      </c>
      <c r="M33" s="167">
        <v>1.0</v>
      </c>
      <c r="N33" s="178"/>
      <c r="O33" s="169">
        <v>1.0</v>
      </c>
      <c r="P33" s="166">
        <v>1.0</v>
      </c>
      <c r="Q33" s="167">
        <v>1.0</v>
      </c>
      <c r="R33" s="167">
        <v>1.0</v>
      </c>
      <c r="S33" s="178"/>
      <c r="T33" s="168">
        <v>1.0</v>
      </c>
      <c r="U33" s="170">
        <f t="shared" si="8"/>
        <v>1</v>
      </c>
      <c r="V33" s="170">
        <f t="shared" si="9"/>
        <v>1</v>
      </c>
    </row>
    <row r="34">
      <c r="A34" s="163">
        <v>1121210.0</v>
      </c>
      <c r="B34" s="182" t="s">
        <v>114</v>
      </c>
      <c r="C34" s="183">
        <v>7.0</v>
      </c>
      <c r="D34" s="184"/>
      <c r="E34" s="167">
        <v>1.0</v>
      </c>
      <c r="F34" s="167">
        <v>1.0</v>
      </c>
      <c r="G34" s="167">
        <v>1.0</v>
      </c>
      <c r="H34" s="178"/>
      <c r="I34" s="168">
        <v>1.0</v>
      </c>
      <c r="J34" s="178"/>
      <c r="K34" s="167">
        <v>1.0</v>
      </c>
      <c r="L34" s="167">
        <v>1.0</v>
      </c>
      <c r="M34" s="167">
        <v>1.0</v>
      </c>
      <c r="N34" s="167">
        <v>1.0</v>
      </c>
      <c r="O34" s="169">
        <v>1.0</v>
      </c>
      <c r="P34" s="166">
        <v>1.0</v>
      </c>
      <c r="Q34" s="167">
        <v>1.0</v>
      </c>
      <c r="R34" s="167">
        <v>1.0</v>
      </c>
      <c r="S34" s="167">
        <v>1.0</v>
      </c>
      <c r="T34" s="168">
        <v>1.0</v>
      </c>
      <c r="U34" s="170">
        <f t="shared" si="8"/>
        <v>1</v>
      </c>
      <c r="V34" s="170">
        <f t="shared" si="9"/>
        <v>1</v>
      </c>
    </row>
    <row r="35">
      <c r="A35" s="163">
        <v>1121211.0</v>
      </c>
      <c r="B35" s="182" t="s">
        <v>116</v>
      </c>
      <c r="C35" s="183">
        <v>7.0</v>
      </c>
      <c r="D35" s="166">
        <v>1.0</v>
      </c>
      <c r="E35" s="167">
        <v>1.0</v>
      </c>
      <c r="F35" s="167">
        <v>1.0</v>
      </c>
      <c r="G35" s="178"/>
      <c r="H35" s="167">
        <v>1.0</v>
      </c>
      <c r="I35" s="168">
        <v>1.0</v>
      </c>
      <c r="J35" s="178"/>
      <c r="K35" s="178"/>
      <c r="L35" s="178"/>
      <c r="M35" s="178"/>
      <c r="N35" s="178"/>
      <c r="O35" s="179"/>
      <c r="P35" s="180"/>
      <c r="Q35" s="178"/>
      <c r="R35" s="178"/>
      <c r="S35" s="178"/>
      <c r="T35" s="181"/>
      <c r="U35" s="170">
        <f t="shared" si="8"/>
        <v>1</v>
      </c>
      <c r="V35" s="170" t="str">
        <f t="shared" si="9"/>
        <v/>
      </c>
    </row>
    <row r="36">
      <c r="A36" s="156">
        <v>1122000.0</v>
      </c>
      <c r="B36" s="157" t="s">
        <v>1745</v>
      </c>
      <c r="C36" s="158">
        <v>4.0</v>
      </c>
      <c r="D36" s="159"/>
      <c r="E36" s="160"/>
      <c r="F36" s="160"/>
      <c r="G36" s="160"/>
      <c r="H36" s="160"/>
      <c r="I36" s="161"/>
      <c r="J36" s="160"/>
      <c r="K36" s="160"/>
      <c r="L36" s="160"/>
      <c r="M36" s="160"/>
      <c r="N36" s="160"/>
      <c r="O36" s="162"/>
      <c r="P36" s="159"/>
      <c r="Q36" s="160"/>
      <c r="R36" s="160"/>
      <c r="S36" s="160"/>
      <c r="T36" s="161"/>
    </row>
    <row r="37">
      <c r="A37" s="171">
        <v>1122100.0</v>
      </c>
      <c r="B37" s="172" t="s">
        <v>1746</v>
      </c>
      <c r="C37" s="173">
        <v>5.0</v>
      </c>
      <c r="D37" s="174"/>
      <c r="E37" s="175"/>
      <c r="F37" s="175"/>
      <c r="G37" s="175"/>
      <c r="H37" s="175"/>
      <c r="I37" s="176"/>
      <c r="J37" s="175"/>
      <c r="K37" s="175"/>
      <c r="L37" s="175"/>
      <c r="M37" s="175"/>
      <c r="N37" s="175"/>
      <c r="O37" s="177"/>
      <c r="P37" s="174"/>
      <c r="Q37" s="175"/>
      <c r="R37" s="175"/>
      <c r="S37" s="175"/>
      <c r="T37" s="176"/>
    </row>
    <row r="38">
      <c r="A38" s="163">
        <v>1122102.0</v>
      </c>
      <c r="B38" s="164" t="s">
        <v>120</v>
      </c>
      <c r="C38" s="165">
        <v>7.0</v>
      </c>
      <c r="D38" s="166">
        <v>1.0</v>
      </c>
      <c r="E38" s="167">
        <v>1.0</v>
      </c>
      <c r="F38" s="167">
        <v>1.0</v>
      </c>
      <c r="G38" s="167">
        <v>1.0</v>
      </c>
      <c r="H38" s="167">
        <v>1.0</v>
      </c>
      <c r="I38" s="168">
        <v>1.0</v>
      </c>
      <c r="J38" s="167">
        <v>1.0</v>
      </c>
      <c r="K38" s="167">
        <v>1.0</v>
      </c>
      <c r="L38" s="167">
        <v>1.0</v>
      </c>
      <c r="M38" s="167">
        <v>1.0</v>
      </c>
      <c r="N38" s="167">
        <v>1.0</v>
      </c>
      <c r="O38" s="169">
        <v>1.0</v>
      </c>
      <c r="P38" s="166">
        <v>1.0</v>
      </c>
      <c r="Q38" s="167">
        <v>1.0</v>
      </c>
      <c r="R38" s="167">
        <v>1.0</v>
      </c>
      <c r="S38" s="167">
        <v>1.0</v>
      </c>
      <c r="T38" s="168">
        <v>1.0</v>
      </c>
      <c r="U38" s="170">
        <f>if(I38+O38&gt;0,1,"")</f>
        <v>1</v>
      </c>
      <c r="V38" s="170">
        <f>if(T38&gt;0,1,"")</f>
        <v>1</v>
      </c>
    </row>
    <row r="39">
      <c r="A39" s="171">
        <v>1122200.0</v>
      </c>
      <c r="B39" s="172" t="s">
        <v>1747</v>
      </c>
      <c r="C39" s="173">
        <v>5.0</v>
      </c>
      <c r="D39" s="174"/>
      <c r="E39" s="175"/>
      <c r="F39" s="175"/>
      <c r="G39" s="175"/>
      <c r="H39" s="175"/>
      <c r="I39" s="176"/>
      <c r="J39" s="175"/>
      <c r="K39" s="175"/>
      <c r="L39" s="175"/>
      <c r="M39" s="175"/>
      <c r="N39" s="175"/>
      <c r="O39" s="177"/>
      <c r="P39" s="174"/>
      <c r="Q39" s="175"/>
      <c r="R39" s="175"/>
      <c r="S39" s="175"/>
      <c r="T39" s="176"/>
    </row>
    <row r="40">
      <c r="A40" s="156">
        <v>1123000.0</v>
      </c>
      <c r="B40" s="157" t="s">
        <v>1748</v>
      </c>
      <c r="C40" s="158">
        <v>4.0</v>
      </c>
      <c r="D40" s="159"/>
      <c r="E40" s="160"/>
      <c r="F40" s="160"/>
      <c r="G40" s="160"/>
      <c r="H40" s="160"/>
      <c r="I40" s="161"/>
      <c r="J40" s="160"/>
      <c r="K40" s="160"/>
      <c r="L40" s="160"/>
      <c r="M40" s="160"/>
      <c r="N40" s="160"/>
      <c r="O40" s="162"/>
      <c r="P40" s="159"/>
      <c r="Q40" s="160"/>
      <c r="R40" s="160"/>
      <c r="S40" s="160"/>
      <c r="T40" s="161"/>
    </row>
    <row r="41">
      <c r="A41" s="171">
        <v>1123100.0</v>
      </c>
      <c r="B41" s="172" t="s">
        <v>1749</v>
      </c>
      <c r="C41" s="173">
        <v>5.0</v>
      </c>
      <c r="D41" s="174"/>
      <c r="E41" s="175"/>
      <c r="F41" s="175"/>
      <c r="G41" s="175"/>
      <c r="H41" s="175"/>
      <c r="I41" s="176"/>
      <c r="J41" s="175"/>
      <c r="K41" s="175"/>
      <c r="L41" s="175"/>
      <c r="M41" s="175"/>
      <c r="N41" s="175"/>
      <c r="O41" s="177"/>
      <c r="P41" s="174"/>
      <c r="Q41" s="175"/>
      <c r="R41" s="175"/>
      <c r="S41" s="175"/>
      <c r="T41" s="176"/>
    </row>
    <row r="42">
      <c r="A42" s="163">
        <v>1123101.0</v>
      </c>
      <c r="B42" s="164" t="s">
        <v>129</v>
      </c>
      <c r="C42" s="165">
        <v>7.0</v>
      </c>
      <c r="D42" s="166">
        <v>1.0</v>
      </c>
      <c r="E42" s="167">
        <v>1.0</v>
      </c>
      <c r="F42" s="167">
        <v>1.0</v>
      </c>
      <c r="G42" s="167">
        <v>1.0</v>
      </c>
      <c r="H42" s="167">
        <v>1.0</v>
      </c>
      <c r="I42" s="168">
        <v>1.0</v>
      </c>
      <c r="J42" s="167">
        <v>1.0</v>
      </c>
      <c r="K42" s="167">
        <v>1.0</v>
      </c>
      <c r="L42" s="167">
        <v>1.0</v>
      </c>
      <c r="M42" s="167">
        <v>1.0</v>
      </c>
      <c r="N42" s="167">
        <v>1.0</v>
      </c>
      <c r="O42" s="169">
        <v>1.0</v>
      </c>
      <c r="P42" s="166">
        <v>1.0</v>
      </c>
      <c r="Q42" s="167">
        <v>1.0</v>
      </c>
      <c r="R42" s="167">
        <v>1.0</v>
      </c>
      <c r="S42" s="167">
        <v>1.0</v>
      </c>
      <c r="T42" s="168">
        <v>1.0</v>
      </c>
      <c r="U42" s="170">
        <f t="shared" ref="U42:U45" si="10">if(I42+O42&gt;0,1,"")</f>
        <v>1</v>
      </c>
      <c r="V42" s="170">
        <f t="shared" ref="V42:V45" si="11">if(T42&gt;0,1,"")</f>
        <v>1</v>
      </c>
    </row>
    <row r="43">
      <c r="A43" s="163">
        <v>1123102.0</v>
      </c>
      <c r="B43" s="164" t="s">
        <v>131</v>
      </c>
      <c r="C43" s="165">
        <v>7.0</v>
      </c>
      <c r="D43" s="166">
        <v>1.0</v>
      </c>
      <c r="E43" s="167">
        <v>1.0</v>
      </c>
      <c r="F43" s="167">
        <v>1.0</v>
      </c>
      <c r="G43" s="167">
        <v>1.0</v>
      </c>
      <c r="H43" s="167">
        <v>1.0</v>
      </c>
      <c r="I43" s="168">
        <v>1.0</v>
      </c>
      <c r="J43" s="167">
        <v>1.0</v>
      </c>
      <c r="K43" s="167">
        <v>1.0</v>
      </c>
      <c r="L43" s="167">
        <v>1.0</v>
      </c>
      <c r="M43" s="167">
        <v>1.0</v>
      </c>
      <c r="N43" s="167">
        <v>1.0</v>
      </c>
      <c r="O43" s="169">
        <v>1.0</v>
      </c>
      <c r="P43" s="166">
        <v>1.0</v>
      </c>
      <c r="Q43" s="167">
        <v>1.0</v>
      </c>
      <c r="R43" s="167">
        <v>1.0</v>
      </c>
      <c r="S43" s="167">
        <v>1.0</v>
      </c>
      <c r="T43" s="168">
        <v>1.0</v>
      </c>
      <c r="U43" s="170">
        <f t="shared" si="10"/>
        <v>1</v>
      </c>
      <c r="V43" s="170">
        <f t="shared" si="11"/>
        <v>1</v>
      </c>
    </row>
    <row r="44">
      <c r="A44" s="163">
        <v>1123103.0</v>
      </c>
      <c r="B44" s="164" t="s">
        <v>133</v>
      </c>
      <c r="C44" s="165">
        <v>7.0</v>
      </c>
      <c r="D44" s="166">
        <v>1.0</v>
      </c>
      <c r="E44" s="167">
        <v>1.0</v>
      </c>
      <c r="F44" s="167">
        <v>1.0</v>
      </c>
      <c r="G44" s="167">
        <v>1.0</v>
      </c>
      <c r="H44" s="167">
        <v>1.0</v>
      </c>
      <c r="I44" s="168">
        <v>1.0</v>
      </c>
      <c r="J44" s="167">
        <v>1.0</v>
      </c>
      <c r="K44" s="167">
        <v>1.0</v>
      </c>
      <c r="L44" s="167">
        <v>1.0</v>
      </c>
      <c r="M44" s="167">
        <v>1.0</v>
      </c>
      <c r="N44" s="167">
        <v>1.0</v>
      </c>
      <c r="O44" s="169">
        <v>1.0</v>
      </c>
      <c r="P44" s="166">
        <v>1.0</v>
      </c>
      <c r="Q44" s="167">
        <v>1.0</v>
      </c>
      <c r="R44" s="167">
        <v>1.0</v>
      </c>
      <c r="S44" s="167">
        <v>1.0</v>
      </c>
      <c r="T44" s="168">
        <v>1.0</v>
      </c>
      <c r="U44" s="170">
        <f t="shared" si="10"/>
        <v>1</v>
      </c>
      <c r="V44" s="170">
        <f t="shared" si="11"/>
        <v>1</v>
      </c>
    </row>
    <row r="45">
      <c r="A45" s="163">
        <v>1123104.0</v>
      </c>
      <c r="B45" s="164" t="s">
        <v>135</v>
      </c>
      <c r="C45" s="165">
        <v>7.0</v>
      </c>
      <c r="D45" s="166">
        <v>1.0</v>
      </c>
      <c r="E45" s="167">
        <v>1.0</v>
      </c>
      <c r="F45" s="167">
        <v>1.0</v>
      </c>
      <c r="G45" s="167">
        <v>1.0</v>
      </c>
      <c r="H45" s="167">
        <v>1.0</v>
      </c>
      <c r="I45" s="168">
        <v>1.0</v>
      </c>
      <c r="J45" s="167">
        <v>1.0</v>
      </c>
      <c r="K45" s="167">
        <v>1.0</v>
      </c>
      <c r="L45" s="167">
        <v>1.0</v>
      </c>
      <c r="M45" s="167">
        <v>1.0</v>
      </c>
      <c r="N45" s="167">
        <v>1.0</v>
      </c>
      <c r="O45" s="169">
        <v>1.0</v>
      </c>
      <c r="P45" s="166">
        <v>1.0</v>
      </c>
      <c r="Q45" s="167">
        <v>1.0</v>
      </c>
      <c r="R45" s="167">
        <v>1.0</v>
      </c>
      <c r="S45" s="167">
        <v>1.0</v>
      </c>
      <c r="T45" s="168">
        <v>1.0</v>
      </c>
      <c r="U45" s="170">
        <f t="shared" si="10"/>
        <v>1</v>
      </c>
      <c r="V45" s="170">
        <f t="shared" si="11"/>
        <v>1</v>
      </c>
    </row>
    <row r="46">
      <c r="A46" s="171">
        <v>1123200.0</v>
      </c>
      <c r="B46" s="172" t="s">
        <v>1750</v>
      </c>
      <c r="C46" s="173">
        <v>5.0</v>
      </c>
      <c r="D46" s="174"/>
      <c r="E46" s="175"/>
      <c r="F46" s="175"/>
      <c r="G46" s="175"/>
      <c r="H46" s="175"/>
      <c r="I46" s="176"/>
      <c r="J46" s="175"/>
      <c r="K46" s="175"/>
      <c r="L46" s="175"/>
      <c r="M46" s="175"/>
      <c r="N46" s="175"/>
      <c r="O46" s="177"/>
      <c r="P46" s="174"/>
      <c r="Q46" s="175"/>
      <c r="R46" s="175"/>
      <c r="S46" s="175"/>
      <c r="T46" s="176"/>
    </row>
    <row r="47">
      <c r="A47" s="163">
        <v>1123202.0</v>
      </c>
      <c r="B47" s="164" t="s">
        <v>141</v>
      </c>
      <c r="C47" s="165">
        <v>7.0</v>
      </c>
      <c r="D47" s="166">
        <v>1.0</v>
      </c>
      <c r="E47" s="167">
        <v>1.0</v>
      </c>
      <c r="F47" s="178"/>
      <c r="G47" s="178"/>
      <c r="H47" s="167">
        <v>1.0</v>
      </c>
      <c r="I47" s="168">
        <v>1.0</v>
      </c>
      <c r="J47" s="167">
        <v>1.0</v>
      </c>
      <c r="K47" s="167">
        <v>1.0</v>
      </c>
      <c r="L47" s="167">
        <v>1.0</v>
      </c>
      <c r="M47" s="167">
        <v>1.0</v>
      </c>
      <c r="N47" s="167">
        <v>1.0</v>
      </c>
      <c r="O47" s="169">
        <v>1.0</v>
      </c>
      <c r="P47" s="166">
        <v>1.0</v>
      </c>
      <c r="Q47" s="178"/>
      <c r="R47" s="178"/>
      <c r="S47" s="167">
        <v>1.0</v>
      </c>
      <c r="T47" s="168">
        <v>1.0</v>
      </c>
      <c r="U47" s="170">
        <f t="shared" ref="U47:U50" si="12">if(I47+O47&gt;0,1,"")</f>
        <v>1</v>
      </c>
      <c r="V47" s="170">
        <f t="shared" ref="V47:V50" si="13">if(T47&gt;0,1,"")</f>
        <v>1</v>
      </c>
    </row>
    <row r="48">
      <c r="A48" s="163">
        <v>1123203.0</v>
      </c>
      <c r="B48" s="164" t="s">
        <v>143</v>
      </c>
      <c r="C48" s="165">
        <v>7.0</v>
      </c>
      <c r="D48" s="166">
        <v>1.0</v>
      </c>
      <c r="E48" s="178"/>
      <c r="F48" s="178"/>
      <c r="G48" s="178"/>
      <c r="H48" s="167">
        <v>1.0</v>
      </c>
      <c r="I48" s="168">
        <v>1.0</v>
      </c>
      <c r="J48" s="167">
        <v>1.0</v>
      </c>
      <c r="K48" s="178"/>
      <c r="L48" s="178"/>
      <c r="M48" s="178"/>
      <c r="N48" s="167">
        <v>1.0</v>
      </c>
      <c r="O48" s="169">
        <v>1.0</v>
      </c>
      <c r="P48" s="180"/>
      <c r="Q48" s="178"/>
      <c r="R48" s="178"/>
      <c r="S48" s="178"/>
      <c r="T48" s="181"/>
      <c r="U48" s="170">
        <f t="shared" si="12"/>
        <v>1</v>
      </c>
      <c r="V48" s="170" t="str">
        <f t="shared" si="13"/>
        <v/>
      </c>
    </row>
    <row r="49">
      <c r="A49" s="163">
        <v>1123204.0</v>
      </c>
      <c r="B49" s="164" t="s">
        <v>145</v>
      </c>
      <c r="C49" s="165">
        <v>7.0</v>
      </c>
      <c r="D49" s="166">
        <v>1.0</v>
      </c>
      <c r="E49" s="167">
        <v>1.0</v>
      </c>
      <c r="F49" s="178"/>
      <c r="G49" s="167">
        <v>1.0</v>
      </c>
      <c r="H49" s="167">
        <v>1.0</v>
      </c>
      <c r="I49" s="168">
        <v>1.0</v>
      </c>
      <c r="J49" s="167">
        <v>1.0</v>
      </c>
      <c r="K49" s="167">
        <v>1.0</v>
      </c>
      <c r="L49" s="167">
        <v>1.0</v>
      </c>
      <c r="M49" s="167">
        <v>1.0</v>
      </c>
      <c r="N49" s="167">
        <v>1.0</v>
      </c>
      <c r="O49" s="169">
        <v>1.0</v>
      </c>
      <c r="P49" s="166">
        <v>1.0</v>
      </c>
      <c r="Q49" s="167">
        <v>1.0</v>
      </c>
      <c r="R49" s="167">
        <v>1.0</v>
      </c>
      <c r="S49" s="167">
        <v>1.0</v>
      </c>
      <c r="T49" s="168">
        <v>1.0</v>
      </c>
      <c r="U49" s="170">
        <f t="shared" si="12"/>
        <v>1</v>
      </c>
      <c r="V49" s="170">
        <f t="shared" si="13"/>
        <v>1</v>
      </c>
    </row>
    <row r="50">
      <c r="A50" s="163">
        <v>1123210.0</v>
      </c>
      <c r="B50" s="164" t="s">
        <v>157</v>
      </c>
      <c r="C50" s="165">
        <v>7.0</v>
      </c>
      <c r="D50" s="166">
        <v>1.0</v>
      </c>
      <c r="E50" s="167">
        <v>1.0</v>
      </c>
      <c r="F50" s="167">
        <v>1.0</v>
      </c>
      <c r="G50" s="167">
        <v>1.0</v>
      </c>
      <c r="H50" s="167">
        <v>1.0</v>
      </c>
      <c r="I50" s="168">
        <v>1.0</v>
      </c>
      <c r="J50" s="178"/>
      <c r="K50" s="178"/>
      <c r="L50" s="178"/>
      <c r="M50" s="178"/>
      <c r="N50" s="178"/>
      <c r="O50" s="179"/>
      <c r="P50" s="180"/>
      <c r="Q50" s="178"/>
      <c r="R50" s="178"/>
      <c r="S50" s="178"/>
      <c r="T50" s="181"/>
      <c r="U50" s="170">
        <f t="shared" si="12"/>
        <v>1</v>
      </c>
      <c r="V50" s="170" t="str">
        <f t="shared" si="13"/>
        <v/>
      </c>
    </row>
    <row r="51">
      <c r="A51" s="171">
        <v>1123300.0</v>
      </c>
      <c r="B51" s="172" t="s">
        <v>1751</v>
      </c>
      <c r="C51" s="173">
        <v>5.0</v>
      </c>
      <c r="D51" s="174"/>
      <c r="E51" s="175"/>
      <c r="F51" s="175"/>
      <c r="G51" s="175"/>
      <c r="H51" s="175"/>
      <c r="I51" s="176"/>
      <c r="J51" s="175"/>
      <c r="K51" s="175"/>
      <c r="L51" s="175"/>
      <c r="M51" s="175"/>
      <c r="N51" s="175"/>
      <c r="O51" s="177"/>
      <c r="P51" s="174"/>
      <c r="Q51" s="175"/>
      <c r="R51" s="175"/>
      <c r="S51" s="175"/>
      <c r="T51" s="176"/>
    </row>
    <row r="52">
      <c r="A52" s="163">
        <v>1123301.0</v>
      </c>
      <c r="B52" s="164" t="s">
        <v>159</v>
      </c>
      <c r="C52" s="165">
        <v>7.0</v>
      </c>
      <c r="D52" s="166">
        <v>1.0</v>
      </c>
      <c r="E52" s="167">
        <v>1.0</v>
      </c>
      <c r="F52" s="167">
        <v>1.0</v>
      </c>
      <c r="G52" s="167">
        <v>1.0</v>
      </c>
      <c r="H52" s="167">
        <v>1.0</v>
      </c>
      <c r="I52" s="168">
        <v>1.0</v>
      </c>
      <c r="J52" s="167">
        <v>1.0</v>
      </c>
      <c r="K52" s="167">
        <v>1.0</v>
      </c>
      <c r="L52" s="167">
        <v>1.0</v>
      </c>
      <c r="M52" s="167">
        <v>1.0</v>
      </c>
      <c r="N52" s="167">
        <v>1.0</v>
      </c>
      <c r="O52" s="169">
        <v>1.0</v>
      </c>
      <c r="P52" s="166">
        <v>1.0</v>
      </c>
      <c r="Q52" s="167">
        <v>1.0</v>
      </c>
      <c r="R52" s="167">
        <v>1.0</v>
      </c>
      <c r="S52" s="167">
        <v>1.0</v>
      </c>
      <c r="T52" s="168">
        <v>1.0</v>
      </c>
      <c r="U52" s="170">
        <f t="shared" ref="U52:U59" si="14">if(I52+O52&gt;0,1,"")</f>
        <v>1</v>
      </c>
      <c r="V52" s="170">
        <f t="shared" ref="V52:V59" si="15">if(T52&gt;0,1,"")</f>
        <v>1</v>
      </c>
    </row>
    <row r="53">
      <c r="A53" s="163">
        <v>1123302.0</v>
      </c>
      <c r="B53" s="164" t="s">
        <v>161</v>
      </c>
      <c r="C53" s="165">
        <v>7.0</v>
      </c>
      <c r="D53" s="166">
        <v>1.0</v>
      </c>
      <c r="E53" s="167">
        <v>1.0</v>
      </c>
      <c r="F53" s="167">
        <v>1.0</v>
      </c>
      <c r="G53" s="167">
        <v>1.0</v>
      </c>
      <c r="H53" s="167">
        <v>1.0</v>
      </c>
      <c r="I53" s="168">
        <v>1.0</v>
      </c>
      <c r="J53" s="167">
        <v>1.0</v>
      </c>
      <c r="K53" s="167">
        <v>1.0</v>
      </c>
      <c r="L53" s="167">
        <v>1.0</v>
      </c>
      <c r="M53" s="167">
        <v>1.0</v>
      </c>
      <c r="N53" s="167">
        <v>1.0</v>
      </c>
      <c r="O53" s="169">
        <v>1.0</v>
      </c>
      <c r="P53" s="166">
        <v>1.0</v>
      </c>
      <c r="Q53" s="167">
        <v>1.0</v>
      </c>
      <c r="R53" s="167">
        <v>1.0</v>
      </c>
      <c r="S53" s="167">
        <v>1.0</v>
      </c>
      <c r="T53" s="168">
        <v>1.0</v>
      </c>
      <c r="U53" s="170">
        <f t="shared" si="14"/>
        <v>1</v>
      </c>
      <c r="V53" s="170">
        <f t="shared" si="15"/>
        <v>1</v>
      </c>
    </row>
    <row r="54">
      <c r="A54" s="163">
        <v>1123304.0</v>
      </c>
      <c r="B54" s="164" t="s">
        <v>165</v>
      </c>
      <c r="C54" s="165">
        <v>7.0</v>
      </c>
      <c r="D54" s="166">
        <v>1.0</v>
      </c>
      <c r="E54" s="167">
        <v>1.0</v>
      </c>
      <c r="F54" s="167">
        <v>1.0</v>
      </c>
      <c r="G54" s="167">
        <v>1.0</v>
      </c>
      <c r="H54" s="167">
        <v>1.0</v>
      </c>
      <c r="I54" s="168">
        <v>1.0</v>
      </c>
      <c r="J54" s="167">
        <v>1.0</v>
      </c>
      <c r="K54" s="167">
        <v>1.0</v>
      </c>
      <c r="L54" s="167">
        <v>1.0</v>
      </c>
      <c r="M54" s="167">
        <v>1.0</v>
      </c>
      <c r="N54" s="167">
        <v>1.0</v>
      </c>
      <c r="O54" s="169">
        <v>1.0</v>
      </c>
      <c r="P54" s="166">
        <v>1.0</v>
      </c>
      <c r="Q54" s="167">
        <v>1.0</v>
      </c>
      <c r="R54" s="167">
        <v>1.0</v>
      </c>
      <c r="S54" s="167">
        <v>1.0</v>
      </c>
      <c r="T54" s="168">
        <v>1.0</v>
      </c>
      <c r="U54" s="170">
        <f t="shared" si="14"/>
        <v>1</v>
      </c>
      <c r="V54" s="170">
        <f t="shared" si="15"/>
        <v>1</v>
      </c>
    </row>
    <row r="55">
      <c r="A55" s="163">
        <v>1123305.0</v>
      </c>
      <c r="B55" s="164" t="s">
        <v>168</v>
      </c>
      <c r="C55" s="165">
        <v>7.0</v>
      </c>
      <c r="D55" s="184"/>
      <c r="E55" s="167">
        <v>1.0</v>
      </c>
      <c r="F55" s="167">
        <v>1.0</v>
      </c>
      <c r="G55" s="167">
        <v>1.0</v>
      </c>
      <c r="H55" s="167">
        <v>1.0</v>
      </c>
      <c r="I55" s="168">
        <v>1.0</v>
      </c>
      <c r="J55" s="178"/>
      <c r="K55" s="178"/>
      <c r="L55" s="167">
        <v>1.0</v>
      </c>
      <c r="M55" s="167">
        <v>1.0</v>
      </c>
      <c r="N55" s="167">
        <v>1.0</v>
      </c>
      <c r="O55" s="169">
        <v>1.0</v>
      </c>
      <c r="P55" s="166">
        <v>1.0</v>
      </c>
      <c r="Q55" s="167">
        <v>1.0</v>
      </c>
      <c r="R55" s="178"/>
      <c r="S55" s="167">
        <v>1.0</v>
      </c>
      <c r="T55" s="168">
        <v>1.0</v>
      </c>
      <c r="U55" s="170">
        <f t="shared" si="14"/>
        <v>1</v>
      </c>
      <c r="V55" s="170">
        <f t="shared" si="15"/>
        <v>1</v>
      </c>
    </row>
    <row r="56">
      <c r="A56" s="163">
        <v>1123306.0</v>
      </c>
      <c r="B56" s="164" t="s">
        <v>170</v>
      </c>
      <c r="C56" s="165">
        <v>7.0</v>
      </c>
      <c r="D56" s="166">
        <v>1.0</v>
      </c>
      <c r="E56" s="167">
        <v>1.0</v>
      </c>
      <c r="F56" s="178"/>
      <c r="G56" s="178"/>
      <c r="H56" s="167">
        <v>1.0</v>
      </c>
      <c r="I56" s="168">
        <v>1.0</v>
      </c>
      <c r="J56" s="167">
        <v>1.0</v>
      </c>
      <c r="K56" s="167">
        <v>1.0</v>
      </c>
      <c r="L56" s="178"/>
      <c r="M56" s="178"/>
      <c r="N56" s="178"/>
      <c r="O56" s="169">
        <v>1.0</v>
      </c>
      <c r="P56" s="166">
        <v>1.0</v>
      </c>
      <c r="Q56" s="178"/>
      <c r="R56" s="178"/>
      <c r="S56" s="167">
        <v>1.0</v>
      </c>
      <c r="T56" s="168">
        <v>1.0</v>
      </c>
      <c r="U56" s="170">
        <f t="shared" si="14"/>
        <v>1</v>
      </c>
      <c r="V56" s="170">
        <f t="shared" si="15"/>
        <v>1</v>
      </c>
    </row>
    <row r="57">
      <c r="A57" s="163">
        <v>1123307.0</v>
      </c>
      <c r="B57" s="164" t="s">
        <v>172</v>
      </c>
      <c r="C57" s="165">
        <v>7.0</v>
      </c>
      <c r="D57" s="166">
        <v>1.0</v>
      </c>
      <c r="E57" s="167">
        <v>1.0</v>
      </c>
      <c r="F57" s="178"/>
      <c r="G57" s="178"/>
      <c r="H57" s="178"/>
      <c r="I57" s="168">
        <v>1.0</v>
      </c>
      <c r="J57" s="178"/>
      <c r="K57" s="178"/>
      <c r="L57" s="178"/>
      <c r="M57" s="178"/>
      <c r="N57" s="178"/>
      <c r="O57" s="179"/>
      <c r="P57" s="166">
        <v>1.0</v>
      </c>
      <c r="Q57" s="178"/>
      <c r="R57" s="167">
        <v>1.0</v>
      </c>
      <c r="S57" s="178"/>
      <c r="T57" s="168">
        <v>1.0</v>
      </c>
      <c r="U57" s="170">
        <f t="shared" si="14"/>
        <v>1</v>
      </c>
      <c r="V57" s="170">
        <f t="shared" si="15"/>
        <v>1</v>
      </c>
    </row>
    <row r="58">
      <c r="A58" s="163">
        <v>1123309.0</v>
      </c>
      <c r="B58" s="164" t="s">
        <v>177</v>
      </c>
      <c r="C58" s="165">
        <v>7.0</v>
      </c>
      <c r="D58" s="166">
        <v>1.0</v>
      </c>
      <c r="E58" s="167">
        <v>1.0</v>
      </c>
      <c r="F58" s="167">
        <v>1.0</v>
      </c>
      <c r="G58" s="167">
        <v>1.0</v>
      </c>
      <c r="H58" s="167">
        <v>1.0</v>
      </c>
      <c r="I58" s="168">
        <v>1.0</v>
      </c>
      <c r="J58" s="178"/>
      <c r="K58" s="178"/>
      <c r="L58" s="167">
        <v>1.0</v>
      </c>
      <c r="M58" s="167">
        <v>1.0</v>
      </c>
      <c r="N58" s="167">
        <v>1.0</v>
      </c>
      <c r="O58" s="169">
        <v>1.0</v>
      </c>
      <c r="P58" s="166">
        <v>1.0</v>
      </c>
      <c r="Q58" s="178"/>
      <c r="R58" s="178"/>
      <c r="S58" s="167">
        <v>1.0</v>
      </c>
      <c r="T58" s="168">
        <v>1.0</v>
      </c>
      <c r="U58" s="170">
        <f t="shared" si="14"/>
        <v>1</v>
      </c>
      <c r="V58" s="170">
        <f t="shared" si="15"/>
        <v>1</v>
      </c>
    </row>
    <row r="59">
      <c r="A59" s="163">
        <v>1123310.0</v>
      </c>
      <c r="B59" s="164" t="s">
        <v>179</v>
      </c>
      <c r="C59" s="165">
        <v>7.0</v>
      </c>
      <c r="D59" s="184"/>
      <c r="E59" s="178"/>
      <c r="F59" s="167">
        <v>1.0</v>
      </c>
      <c r="G59" s="167">
        <v>1.0</v>
      </c>
      <c r="H59" s="178"/>
      <c r="I59" s="168">
        <v>1.0</v>
      </c>
      <c r="J59" s="178"/>
      <c r="K59" s="178"/>
      <c r="L59" s="167">
        <v>1.0</v>
      </c>
      <c r="M59" s="167">
        <v>1.0</v>
      </c>
      <c r="N59" s="178"/>
      <c r="O59" s="169">
        <v>1.0</v>
      </c>
      <c r="P59" s="180"/>
      <c r="Q59" s="167">
        <v>1.0</v>
      </c>
      <c r="R59" s="167">
        <v>1.0</v>
      </c>
      <c r="S59" s="167">
        <v>1.0</v>
      </c>
      <c r="T59" s="168">
        <v>1.0</v>
      </c>
      <c r="U59" s="170">
        <f t="shared" si="14"/>
        <v>1</v>
      </c>
      <c r="V59" s="170">
        <f t="shared" si="15"/>
        <v>1</v>
      </c>
    </row>
    <row r="60">
      <c r="A60" s="171">
        <v>1123400.0</v>
      </c>
      <c r="B60" s="172" t="s">
        <v>1752</v>
      </c>
      <c r="C60" s="173">
        <v>5.0</v>
      </c>
      <c r="D60" s="174"/>
      <c r="E60" s="175"/>
      <c r="F60" s="175"/>
      <c r="G60" s="175"/>
      <c r="H60" s="175"/>
      <c r="I60" s="176"/>
      <c r="J60" s="175"/>
      <c r="K60" s="175"/>
      <c r="L60" s="175"/>
      <c r="M60" s="175"/>
      <c r="N60" s="175"/>
      <c r="O60" s="177"/>
      <c r="P60" s="174"/>
      <c r="Q60" s="175"/>
      <c r="R60" s="175"/>
      <c r="S60" s="175"/>
      <c r="T60" s="176"/>
    </row>
    <row r="61">
      <c r="A61" s="163">
        <v>1123401.0</v>
      </c>
      <c r="B61" s="164" t="s">
        <v>181</v>
      </c>
      <c r="C61" s="165">
        <v>7.0</v>
      </c>
      <c r="D61" s="166">
        <v>1.0</v>
      </c>
      <c r="E61" s="167">
        <v>1.0</v>
      </c>
      <c r="F61" s="167">
        <v>1.0</v>
      </c>
      <c r="G61" s="167">
        <v>1.0</v>
      </c>
      <c r="H61" s="167">
        <v>1.0</v>
      </c>
      <c r="I61" s="168">
        <v>1.0</v>
      </c>
      <c r="J61" s="167">
        <v>1.0</v>
      </c>
      <c r="K61" s="167">
        <v>1.0</v>
      </c>
      <c r="L61" s="167">
        <v>1.0</v>
      </c>
      <c r="M61" s="167">
        <v>1.0</v>
      </c>
      <c r="N61" s="167">
        <v>1.0</v>
      </c>
      <c r="O61" s="169">
        <v>1.0</v>
      </c>
      <c r="P61" s="166">
        <v>1.0</v>
      </c>
      <c r="Q61" s="167">
        <v>1.0</v>
      </c>
      <c r="R61" s="167">
        <v>1.0</v>
      </c>
      <c r="S61" s="167">
        <v>1.0</v>
      </c>
      <c r="T61" s="168">
        <v>1.0</v>
      </c>
      <c r="U61" s="170">
        <f t="shared" ref="U61:U67" si="16">if(I61+O61&gt;0,1,"")</f>
        <v>1</v>
      </c>
      <c r="V61" s="170">
        <f t="shared" ref="V61:V67" si="17">if(T61&gt;0,1,"")</f>
        <v>1</v>
      </c>
    </row>
    <row r="62">
      <c r="A62" s="163">
        <v>1123402.0</v>
      </c>
      <c r="B62" s="164" t="s">
        <v>183</v>
      </c>
      <c r="C62" s="165">
        <v>7.0</v>
      </c>
      <c r="D62" s="166">
        <v>1.0</v>
      </c>
      <c r="E62" s="167">
        <v>1.0</v>
      </c>
      <c r="F62" s="167">
        <v>1.0</v>
      </c>
      <c r="G62" s="167">
        <v>1.0</v>
      </c>
      <c r="H62" s="178"/>
      <c r="I62" s="168">
        <v>1.0</v>
      </c>
      <c r="J62" s="167">
        <v>1.0</v>
      </c>
      <c r="K62" s="167">
        <v>1.0</v>
      </c>
      <c r="L62" s="178"/>
      <c r="M62" s="167">
        <v>1.0</v>
      </c>
      <c r="N62" s="167">
        <v>1.0</v>
      </c>
      <c r="O62" s="169">
        <v>1.0</v>
      </c>
      <c r="P62" s="166">
        <v>1.0</v>
      </c>
      <c r="Q62" s="178"/>
      <c r="R62" s="167">
        <v>1.0</v>
      </c>
      <c r="S62" s="178"/>
      <c r="T62" s="168">
        <v>1.0</v>
      </c>
      <c r="U62" s="170">
        <f t="shared" si="16"/>
        <v>1</v>
      </c>
      <c r="V62" s="170">
        <f t="shared" si="17"/>
        <v>1</v>
      </c>
    </row>
    <row r="63">
      <c r="A63" s="163">
        <v>1123403.0</v>
      </c>
      <c r="B63" s="164" t="s">
        <v>185</v>
      </c>
      <c r="C63" s="165">
        <v>7.0</v>
      </c>
      <c r="D63" s="184"/>
      <c r="E63" s="167">
        <v>1.0</v>
      </c>
      <c r="F63" s="167">
        <v>1.0</v>
      </c>
      <c r="G63" s="167">
        <v>1.0</v>
      </c>
      <c r="H63" s="178"/>
      <c r="I63" s="168">
        <v>1.0</v>
      </c>
      <c r="J63" s="167">
        <v>1.0</v>
      </c>
      <c r="K63" s="167">
        <v>1.0</v>
      </c>
      <c r="L63" s="167">
        <v>1.0</v>
      </c>
      <c r="M63" s="167">
        <v>1.0</v>
      </c>
      <c r="N63" s="178"/>
      <c r="O63" s="169">
        <v>1.0</v>
      </c>
      <c r="P63" s="166">
        <v>1.0</v>
      </c>
      <c r="Q63" s="167">
        <v>1.0</v>
      </c>
      <c r="R63" s="167">
        <v>1.0</v>
      </c>
      <c r="S63" s="178"/>
      <c r="T63" s="168">
        <v>1.0</v>
      </c>
      <c r="U63" s="170">
        <f t="shared" si="16"/>
        <v>1</v>
      </c>
      <c r="V63" s="170">
        <f t="shared" si="17"/>
        <v>1</v>
      </c>
    </row>
    <row r="64">
      <c r="A64" s="163">
        <v>1123404.0</v>
      </c>
      <c r="B64" s="164" t="s">
        <v>187</v>
      </c>
      <c r="C64" s="165">
        <v>7.0</v>
      </c>
      <c r="D64" s="184"/>
      <c r="E64" s="167">
        <v>1.0</v>
      </c>
      <c r="F64" s="167">
        <v>1.0</v>
      </c>
      <c r="G64" s="167">
        <v>1.0</v>
      </c>
      <c r="H64" s="167">
        <v>1.0</v>
      </c>
      <c r="I64" s="168">
        <v>1.0</v>
      </c>
      <c r="J64" s="178"/>
      <c r="K64" s="167">
        <v>1.0</v>
      </c>
      <c r="L64" s="167">
        <v>1.0</v>
      </c>
      <c r="M64" s="167">
        <v>1.0</v>
      </c>
      <c r="N64" s="167">
        <v>1.0</v>
      </c>
      <c r="O64" s="169">
        <v>1.0</v>
      </c>
      <c r="P64" s="166">
        <v>1.0</v>
      </c>
      <c r="Q64" s="167">
        <v>1.0</v>
      </c>
      <c r="R64" s="167">
        <v>1.0</v>
      </c>
      <c r="S64" s="167">
        <v>1.0</v>
      </c>
      <c r="T64" s="168">
        <v>1.0</v>
      </c>
      <c r="U64" s="170">
        <f t="shared" si="16"/>
        <v>1</v>
      </c>
      <c r="V64" s="170">
        <f t="shared" si="17"/>
        <v>1</v>
      </c>
    </row>
    <row r="65">
      <c r="A65" s="163">
        <v>1123406.0</v>
      </c>
      <c r="B65" s="164" t="s">
        <v>191</v>
      </c>
      <c r="C65" s="165">
        <v>7.0</v>
      </c>
      <c r="D65" s="166">
        <v>1.0</v>
      </c>
      <c r="E65" s="167">
        <v>1.0</v>
      </c>
      <c r="F65" s="178"/>
      <c r="G65" s="178"/>
      <c r="H65" s="167">
        <v>1.0</v>
      </c>
      <c r="I65" s="168">
        <v>1.0</v>
      </c>
      <c r="J65" s="167">
        <v>1.0</v>
      </c>
      <c r="K65" s="167">
        <v>1.0</v>
      </c>
      <c r="L65" s="178"/>
      <c r="M65" s="178"/>
      <c r="N65" s="167">
        <v>1.0</v>
      </c>
      <c r="O65" s="169">
        <v>1.0</v>
      </c>
      <c r="P65" s="166">
        <v>1.0</v>
      </c>
      <c r="Q65" s="178"/>
      <c r="R65" s="178"/>
      <c r="S65" s="167">
        <v>1.0</v>
      </c>
      <c r="T65" s="168">
        <v>1.0</v>
      </c>
      <c r="U65" s="170">
        <f t="shared" si="16"/>
        <v>1</v>
      </c>
      <c r="V65" s="170">
        <f t="shared" si="17"/>
        <v>1</v>
      </c>
    </row>
    <row r="66">
      <c r="A66" s="163">
        <v>1123407.0</v>
      </c>
      <c r="B66" s="164" t="s">
        <v>193</v>
      </c>
      <c r="C66" s="165">
        <v>7.0</v>
      </c>
      <c r="D66" s="184"/>
      <c r="E66" s="167">
        <v>1.0</v>
      </c>
      <c r="F66" s="178"/>
      <c r="G66" s="178"/>
      <c r="H66" s="167">
        <v>1.0</v>
      </c>
      <c r="I66" s="168">
        <v>1.0</v>
      </c>
      <c r="J66" s="178"/>
      <c r="K66" s="167">
        <v>1.0</v>
      </c>
      <c r="L66" s="178"/>
      <c r="M66" s="178"/>
      <c r="N66" s="167">
        <v>1.0</v>
      </c>
      <c r="O66" s="169">
        <v>1.0</v>
      </c>
      <c r="P66" s="180"/>
      <c r="Q66" s="178"/>
      <c r="R66" s="178"/>
      <c r="S66" s="178"/>
      <c r="T66" s="181"/>
      <c r="U66" s="170">
        <f t="shared" si="16"/>
        <v>1</v>
      </c>
      <c r="V66" s="170" t="str">
        <f t="shared" si="17"/>
        <v/>
      </c>
    </row>
    <row r="67">
      <c r="A67" s="163">
        <v>1123408.0</v>
      </c>
      <c r="B67" s="164" t="s">
        <v>195</v>
      </c>
      <c r="C67" s="165">
        <v>7.0</v>
      </c>
      <c r="D67" s="184"/>
      <c r="E67" s="178"/>
      <c r="F67" s="167">
        <v>1.0</v>
      </c>
      <c r="G67" s="167">
        <v>1.0</v>
      </c>
      <c r="H67" s="178"/>
      <c r="I67" s="168">
        <v>1.0</v>
      </c>
      <c r="J67" s="178"/>
      <c r="K67" s="167">
        <v>1.0</v>
      </c>
      <c r="L67" s="167">
        <v>1.0</v>
      </c>
      <c r="M67" s="167">
        <v>1.0</v>
      </c>
      <c r="N67" s="178"/>
      <c r="O67" s="169">
        <v>1.0</v>
      </c>
      <c r="P67" s="166">
        <v>1.0</v>
      </c>
      <c r="Q67" s="167">
        <v>1.0</v>
      </c>
      <c r="R67" s="167">
        <v>1.0</v>
      </c>
      <c r="S67" s="178"/>
      <c r="T67" s="168">
        <v>1.0</v>
      </c>
      <c r="U67" s="170">
        <f t="shared" si="16"/>
        <v>1</v>
      </c>
      <c r="V67" s="170">
        <f t="shared" si="17"/>
        <v>1</v>
      </c>
    </row>
    <row r="68">
      <c r="A68" s="171">
        <v>1123500.0</v>
      </c>
      <c r="B68" s="172" t="s">
        <v>1753</v>
      </c>
      <c r="C68" s="173">
        <v>5.0</v>
      </c>
      <c r="D68" s="174"/>
      <c r="E68" s="175"/>
      <c r="F68" s="175"/>
      <c r="G68" s="175"/>
      <c r="H68" s="175"/>
      <c r="I68" s="176"/>
      <c r="J68" s="175"/>
      <c r="K68" s="175"/>
      <c r="L68" s="175"/>
      <c r="M68" s="175"/>
      <c r="N68" s="175"/>
      <c r="O68" s="177"/>
      <c r="P68" s="174"/>
      <c r="Q68" s="175"/>
      <c r="R68" s="175"/>
      <c r="S68" s="175"/>
      <c r="T68" s="176"/>
    </row>
    <row r="69">
      <c r="A69" s="163">
        <v>1123501.0</v>
      </c>
      <c r="B69" s="164" t="s">
        <v>197</v>
      </c>
      <c r="C69" s="165">
        <v>7.0</v>
      </c>
      <c r="D69" s="166">
        <v>1.0</v>
      </c>
      <c r="E69" s="167">
        <v>1.0</v>
      </c>
      <c r="F69" s="178"/>
      <c r="G69" s="178"/>
      <c r="H69" s="167">
        <v>1.0</v>
      </c>
      <c r="I69" s="168">
        <v>1.0</v>
      </c>
      <c r="J69" s="178"/>
      <c r="K69" s="178"/>
      <c r="L69" s="178"/>
      <c r="M69" s="178"/>
      <c r="N69" s="178"/>
      <c r="O69" s="179"/>
      <c r="P69" s="166">
        <v>1.0</v>
      </c>
      <c r="Q69" s="178"/>
      <c r="R69" s="178"/>
      <c r="S69" s="167">
        <v>1.0</v>
      </c>
      <c r="T69" s="168">
        <v>1.0</v>
      </c>
      <c r="U69" s="170">
        <f t="shared" ref="U69:U72" si="18">if(I69+O69&gt;0,1,"")</f>
        <v>1</v>
      </c>
      <c r="V69" s="170">
        <f t="shared" ref="V69:V72" si="19">if(T69&gt;0,1,"")</f>
        <v>1</v>
      </c>
    </row>
    <row r="70">
      <c r="A70" s="163">
        <v>1123503.0</v>
      </c>
      <c r="B70" s="164" t="s">
        <v>201</v>
      </c>
      <c r="C70" s="165">
        <v>7.0</v>
      </c>
      <c r="D70" s="166">
        <v>1.0</v>
      </c>
      <c r="E70" s="167">
        <v>1.0</v>
      </c>
      <c r="F70" s="167">
        <v>1.0</v>
      </c>
      <c r="G70" s="167">
        <v>1.0</v>
      </c>
      <c r="H70" s="167">
        <v>1.0</v>
      </c>
      <c r="I70" s="168">
        <v>1.0</v>
      </c>
      <c r="J70" s="167">
        <v>1.0</v>
      </c>
      <c r="K70" s="167">
        <v>1.0</v>
      </c>
      <c r="L70" s="167">
        <v>1.0</v>
      </c>
      <c r="M70" s="178"/>
      <c r="N70" s="167">
        <v>1.0</v>
      </c>
      <c r="O70" s="169">
        <v>1.0</v>
      </c>
      <c r="P70" s="166">
        <v>1.0</v>
      </c>
      <c r="Q70" s="178"/>
      <c r="R70" s="178"/>
      <c r="S70" s="167">
        <v>1.0</v>
      </c>
      <c r="T70" s="168">
        <v>1.0</v>
      </c>
      <c r="U70" s="170">
        <f t="shared" si="18"/>
        <v>1</v>
      </c>
      <c r="V70" s="170">
        <f t="shared" si="19"/>
        <v>1</v>
      </c>
    </row>
    <row r="71">
      <c r="A71" s="163">
        <v>1123504.0</v>
      </c>
      <c r="B71" s="164" t="s">
        <v>203</v>
      </c>
      <c r="C71" s="165">
        <v>7.0</v>
      </c>
      <c r="D71" s="166">
        <v>1.0</v>
      </c>
      <c r="E71" s="167">
        <v>1.0</v>
      </c>
      <c r="F71" s="167">
        <v>1.0</v>
      </c>
      <c r="G71" s="167">
        <v>1.0</v>
      </c>
      <c r="H71" s="167">
        <v>1.0</v>
      </c>
      <c r="I71" s="168">
        <v>1.0</v>
      </c>
      <c r="J71" s="167">
        <v>1.0</v>
      </c>
      <c r="K71" s="167">
        <v>1.0</v>
      </c>
      <c r="L71" s="167">
        <v>1.0</v>
      </c>
      <c r="M71" s="167">
        <v>1.0</v>
      </c>
      <c r="N71" s="167">
        <v>1.0</v>
      </c>
      <c r="O71" s="169">
        <v>1.0</v>
      </c>
      <c r="P71" s="166">
        <v>1.0</v>
      </c>
      <c r="Q71" s="167">
        <v>1.0</v>
      </c>
      <c r="R71" s="167">
        <v>1.0</v>
      </c>
      <c r="S71" s="167">
        <v>1.0</v>
      </c>
      <c r="T71" s="168">
        <v>1.0</v>
      </c>
      <c r="U71" s="170">
        <f t="shared" si="18"/>
        <v>1</v>
      </c>
      <c r="V71" s="170">
        <f t="shared" si="19"/>
        <v>1</v>
      </c>
    </row>
    <row r="72">
      <c r="A72" s="163">
        <v>1123505.0</v>
      </c>
      <c r="B72" s="164" t="s">
        <v>205</v>
      </c>
      <c r="C72" s="165">
        <v>7.0</v>
      </c>
      <c r="D72" s="166">
        <v>1.0</v>
      </c>
      <c r="E72" s="167">
        <v>1.0</v>
      </c>
      <c r="F72" s="167">
        <v>1.0</v>
      </c>
      <c r="G72" s="167">
        <v>1.0</v>
      </c>
      <c r="H72" s="167">
        <v>1.0</v>
      </c>
      <c r="I72" s="168">
        <v>1.0</v>
      </c>
      <c r="J72" s="178"/>
      <c r="K72" s="167">
        <v>1.0</v>
      </c>
      <c r="L72" s="167">
        <v>1.0</v>
      </c>
      <c r="M72" s="167">
        <v>1.0</v>
      </c>
      <c r="N72" s="167">
        <v>1.0</v>
      </c>
      <c r="O72" s="169">
        <v>1.0</v>
      </c>
      <c r="P72" s="166">
        <v>1.0</v>
      </c>
      <c r="Q72" s="167">
        <v>1.0</v>
      </c>
      <c r="R72" s="167">
        <v>1.0</v>
      </c>
      <c r="S72" s="167">
        <v>1.0</v>
      </c>
      <c r="T72" s="168">
        <v>1.0</v>
      </c>
      <c r="U72" s="170">
        <f t="shared" si="18"/>
        <v>1</v>
      </c>
      <c r="V72" s="170">
        <f t="shared" si="19"/>
        <v>1</v>
      </c>
    </row>
    <row r="73">
      <c r="A73" s="149">
        <v>1130000.0</v>
      </c>
      <c r="B73" s="150" t="s">
        <v>1754</v>
      </c>
      <c r="C73" s="151">
        <v>3.0</v>
      </c>
      <c r="D73" s="152"/>
      <c r="E73" s="153"/>
      <c r="F73" s="153"/>
      <c r="G73" s="153"/>
      <c r="H73" s="153"/>
      <c r="I73" s="154"/>
      <c r="J73" s="153"/>
      <c r="K73" s="153"/>
      <c r="L73" s="153"/>
      <c r="M73" s="153"/>
      <c r="N73" s="153"/>
      <c r="O73" s="155"/>
      <c r="P73" s="152"/>
      <c r="Q73" s="153"/>
      <c r="R73" s="153"/>
      <c r="S73" s="153"/>
      <c r="T73" s="154"/>
    </row>
    <row r="74">
      <c r="A74" s="156">
        <v>1131000.0</v>
      </c>
      <c r="B74" s="157" t="s">
        <v>1755</v>
      </c>
      <c r="C74" s="158">
        <v>4.0</v>
      </c>
      <c r="D74" s="159"/>
      <c r="E74" s="160"/>
      <c r="F74" s="160"/>
      <c r="G74" s="160"/>
      <c r="H74" s="160"/>
      <c r="I74" s="161"/>
      <c r="J74" s="160"/>
      <c r="K74" s="160"/>
      <c r="L74" s="160"/>
      <c r="M74" s="160"/>
      <c r="N74" s="160"/>
      <c r="O74" s="162"/>
      <c r="P74" s="159"/>
      <c r="Q74" s="160"/>
      <c r="R74" s="160"/>
      <c r="S74" s="160"/>
      <c r="T74" s="161"/>
    </row>
    <row r="75">
      <c r="A75" s="163">
        <v>1131001.0</v>
      </c>
      <c r="B75" s="164" t="s">
        <v>207</v>
      </c>
      <c r="C75" s="165">
        <v>7.0</v>
      </c>
      <c r="D75" s="166">
        <v>1.0</v>
      </c>
      <c r="E75" s="167">
        <v>1.0</v>
      </c>
      <c r="F75" s="167">
        <v>1.0</v>
      </c>
      <c r="G75" s="167">
        <v>1.0</v>
      </c>
      <c r="H75" s="167">
        <v>1.0</v>
      </c>
      <c r="I75" s="168">
        <v>1.0</v>
      </c>
      <c r="J75" s="167">
        <v>1.0</v>
      </c>
      <c r="K75" s="167">
        <v>1.0</v>
      </c>
      <c r="L75" s="167">
        <v>1.0</v>
      </c>
      <c r="M75" s="167">
        <v>1.0</v>
      </c>
      <c r="N75" s="167">
        <v>1.0</v>
      </c>
      <c r="O75" s="169">
        <v>1.0</v>
      </c>
      <c r="P75" s="166">
        <v>1.0</v>
      </c>
      <c r="Q75" s="167">
        <v>1.0</v>
      </c>
      <c r="R75" s="167">
        <v>1.0</v>
      </c>
      <c r="S75" s="167">
        <v>1.0</v>
      </c>
      <c r="T75" s="168">
        <v>1.0</v>
      </c>
      <c r="U75" s="170">
        <f t="shared" ref="U75:U76" si="20">if(I75+O75&gt;0,1,"")</f>
        <v>1</v>
      </c>
      <c r="V75" s="170">
        <f t="shared" ref="V75:V76" si="21">if(T75&gt;0,1,"")</f>
        <v>1</v>
      </c>
    </row>
    <row r="76">
      <c r="A76" s="163">
        <v>1131002.0</v>
      </c>
      <c r="B76" s="164" t="s">
        <v>209</v>
      </c>
      <c r="C76" s="165">
        <v>7.0</v>
      </c>
      <c r="D76" s="184"/>
      <c r="E76" s="167">
        <v>1.0</v>
      </c>
      <c r="F76" s="167">
        <v>1.0</v>
      </c>
      <c r="G76" s="167">
        <v>1.0</v>
      </c>
      <c r="H76" s="167">
        <v>1.0</v>
      </c>
      <c r="I76" s="168">
        <v>1.0</v>
      </c>
      <c r="J76" s="178"/>
      <c r="K76" s="167">
        <v>1.0</v>
      </c>
      <c r="L76" s="167">
        <v>1.0</v>
      </c>
      <c r="M76" s="167">
        <v>1.0</v>
      </c>
      <c r="N76" s="167">
        <v>1.0</v>
      </c>
      <c r="O76" s="169">
        <v>1.0</v>
      </c>
      <c r="P76" s="166">
        <v>1.0</v>
      </c>
      <c r="Q76" s="167">
        <v>1.0</v>
      </c>
      <c r="R76" s="167">
        <v>1.0</v>
      </c>
      <c r="S76" s="167">
        <v>1.0</v>
      </c>
      <c r="T76" s="168">
        <v>1.0</v>
      </c>
      <c r="U76" s="170">
        <f t="shared" si="20"/>
        <v>1</v>
      </c>
      <c r="V76" s="170">
        <f t="shared" si="21"/>
        <v>1</v>
      </c>
    </row>
    <row r="77">
      <c r="A77" s="156">
        <v>1132000.0</v>
      </c>
      <c r="B77" s="157" t="s">
        <v>1756</v>
      </c>
      <c r="C77" s="158">
        <v>4.0</v>
      </c>
      <c r="D77" s="159"/>
      <c r="E77" s="160"/>
      <c r="F77" s="160"/>
      <c r="G77" s="160"/>
      <c r="H77" s="160"/>
      <c r="I77" s="161"/>
      <c r="J77" s="160"/>
      <c r="K77" s="160"/>
      <c r="L77" s="160"/>
      <c r="M77" s="160"/>
      <c r="N77" s="160"/>
      <c r="O77" s="162"/>
      <c r="P77" s="159"/>
      <c r="Q77" s="160"/>
      <c r="R77" s="160"/>
      <c r="S77" s="160"/>
      <c r="T77" s="161"/>
    </row>
    <row r="78">
      <c r="A78" s="163">
        <v>1132001.0</v>
      </c>
      <c r="B78" s="164" t="s">
        <v>213</v>
      </c>
      <c r="C78" s="165">
        <v>7.0</v>
      </c>
      <c r="D78" s="166">
        <v>1.0</v>
      </c>
      <c r="E78" s="167">
        <v>1.0</v>
      </c>
      <c r="F78" s="167">
        <v>1.0</v>
      </c>
      <c r="G78" s="167">
        <v>1.0</v>
      </c>
      <c r="H78" s="167">
        <v>1.0</v>
      </c>
      <c r="I78" s="168">
        <v>1.0</v>
      </c>
      <c r="J78" s="167">
        <v>1.0</v>
      </c>
      <c r="K78" s="167">
        <v>1.0</v>
      </c>
      <c r="L78" s="167">
        <v>1.0</v>
      </c>
      <c r="M78" s="167">
        <v>1.0</v>
      </c>
      <c r="N78" s="167">
        <v>1.0</v>
      </c>
      <c r="O78" s="169">
        <v>1.0</v>
      </c>
      <c r="P78" s="166">
        <v>1.0</v>
      </c>
      <c r="Q78" s="167">
        <v>1.0</v>
      </c>
      <c r="R78" s="167">
        <v>1.0</v>
      </c>
      <c r="S78" s="167">
        <v>1.0</v>
      </c>
      <c r="T78" s="168">
        <v>1.0</v>
      </c>
      <c r="U78" s="170">
        <f t="shared" ref="U78:U82" si="22">if(I78+O78&gt;0,1,"")</f>
        <v>1</v>
      </c>
      <c r="V78" s="170">
        <f t="shared" ref="V78:V82" si="23">if(T78&gt;0,1,"")</f>
        <v>1</v>
      </c>
    </row>
    <row r="79">
      <c r="A79" s="163">
        <v>1132002.0</v>
      </c>
      <c r="B79" s="164" t="s">
        <v>215</v>
      </c>
      <c r="C79" s="165">
        <v>7.0</v>
      </c>
      <c r="D79" s="166">
        <v>1.0</v>
      </c>
      <c r="E79" s="178"/>
      <c r="F79" s="178"/>
      <c r="G79" s="178"/>
      <c r="H79" s="167">
        <v>1.0</v>
      </c>
      <c r="I79" s="168">
        <v>1.0</v>
      </c>
      <c r="J79" s="167">
        <v>1.0</v>
      </c>
      <c r="K79" s="167">
        <v>1.0</v>
      </c>
      <c r="L79" s="178"/>
      <c r="M79" s="178"/>
      <c r="N79" s="167">
        <v>1.0</v>
      </c>
      <c r="O79" s="169">
        <v>1.0</v>
      </c>
      <c r="P79" s="180"/>
      <c r="Q79" s="178"/>
      <c r="R79" s="178"/>
      <c r="S79" s="178"/>
      <c r="T79" s="181"/>
      <c r="U79" s="170">
        <f t="shared" si="22"/>
        <v>1</v>
      </c>
      <c r="V79" s="170" t="str">
        <f t="shared" si="23"/>
        <v/>
      </c>
    </row>
    <row r="80">
      <c r="A80" s="163">
        <v>1132003.0</v>
      </c>
      <c r="B80" s="164" t="s">
        <v>217</v>
      </c>
      <c r="C80" s="165">
        <v>7.0</v>
      </c>
      <c r="D80" s="166">
        <v>1.0</v>
      </c>
      <c r="E80" s="167">
        <v>1.0</v>
      </c>
      <c r="F80" s="167">
        <v>1.0</v>
      </c>
      <c r="G80" s="167">
        <v>1.0</v>
      </c>
      <c r="H80" s="167">
        <v>1.0</v>
      </c>
      <c r="I80" s="168">
        <v>1.0</v>
      </c>
      <c r="J80" s="167">
        <v>1.0</v>
      </c>
      <c r="K80" s="167">
        <v>1.0</v>
      </c>
      <c r="L80" s="167">
        <v>1.0</v>
      </c>
      <c r="M80" s="167">
        <v>1.0</v>
      </c>
      <c r="N80" s="167">
        <v>1.0</v>
      </c>
      <c r="O80" s="169">
        <v>1.0</v>
      </c>
      <c r="P80" s="166">
        <v>1.0</v>
      </c>
      <c r="Q80" s="167">
        <v>1.0</v>
      </c>
      <c r="R80" s="167">
        <v>1.0</v>
      </c>
      <c r="S80" s="167">
        <v>1.0</v>
      </c>
      <c r="T80" s="168">
        <v>1.0</v>
      </c>
      <c r="U80" s="170">
        <f t="shared" si="22"/>
        <v>1</v>
      </c>
      <c r="V80" s="170">
        <f t="shared" si="23"/>
        <v>1</v>
      </c>
    </row>
    <row r="81">
      <c r="A81" s="163">
        <v>1132004.0</v>
      </c>
      <c r="B81" s="164" t="s">
        <v>219</v>
      </c>
      <c r="C81" s="165">
        <v>7.0</v>
      </c>
      <c r="D81" s="166">
        <v>1.0</v>
      </c>
      <c r="E81" s="167">
        <v>1.0</v>
      </c>
      <c r="F81" s="167">
        <v>1.0</v>
      </c>
      <c r="G81" s="167">
        <v>1.0</v>
      </c>
      <c r="H81" s="167">
        <v>1.0</v>
      </c>
      <c r="I81" s="168">
        <v>1.0</v>
      </c>
      <c r="J81" s="167">
        <v>1.0</v>
      </c>
      <c r="K81" s="167">
        <v>1.0</v>
      </c>
      <c r="L81" s="167">
        <v>1.0</v>
      </c>
      <c r="M81" s="167">
        <v>1.0</v>
      </c>
      <c r="N81" s="167">
        <v>1.0</v>
      </c>
      <c r="O81" s="169">
        <v>1.0</v>
      </c>
      <c r="P81" s="166">
        <v>1.0</v>
      </c>
      <c r="Q81" s="167">
        <v>1.0</v>
      </c>
      <c r="R81" s="167">
        <v>1.0</v>
      </c>
      <c r="S81" s="167">
        <v>1.0</v>
      </c>
      <c r="T81" s="168">
        <v>1.0</v>
      </c>
      <c r="U81" s="170">
        <f t="shared" si="22"/>
        <v>1</v>
      </c>
      <c r="V81" s="170">
        <f t="shared" si="23"/>
        <v>1</v>
      </c>
    </row>
    <row r="82">
      <c r="A82" s="163">
        <v>1132006.0</v>
      </c>
      <c r="B82" s="164" t="s">
        <v>223</v>
      </c>
      <c r="C82" s="165">
        <v>7.0</v>
      </c>
      <c r="D82" s="166">
        <v>1.0</v>
      </c>
      <c r="E82" s="167">
        <v>1.0</v>
      </c>
      <c r="F82" s="167">
        <v>1.0</v>
      </c>
      <c r="G82" s="167">
        <v>1.0</v>
      </c>
      <c r="H82" s="167">
        <v>1.0</v>
      </c>
      <c r="I82" s="168">
        <v>1.0</v>
      </c>
      <c r="J82" s="167">
        <v>1.0</v>
      </c>
      <c r="K82" s="167">
        <v>1.0</v>
      </c>
      <c r="L82" s="167">
        <v>1.0</v>
      </c>
      <c r="M82" s="167">
        <v>1.0</v>
      </c>
      <c r="N82" s="167">
        <v>1.0</v>
      </c>
      <c r="O82" s="169">
        <v>1.0</v>
      </c>
      <c r="P82" s="166">
        <v>1.0</v>
      </c>
      <c r="Q82" s="167">
        <v>1.0</v>
      </c>
      <c r="R82" s="167">
        <v>1.0</v>
      </c>
      <c r="S82" s="167">
        <v>1.0</v>
      </c>
      <c r="T82" s="168">
        <v>1.0</v>
      </c>
      <c r="U82" s="170">
        <f t="shared" si="22"/>
        <v>1</v>
      </c>
      <c r="V82" s="170">
        <f t="shared" si="23"/>
        <v>1</v>
      </c>
    </row>
    <row r="83">
      <c r="A83" s="149">
        <v>1140000.0</v>
      </c>
      <c r="B83" s="150" t="s">
        <v>1757</v>
      </c>
      <c r="C83" s="151">
        <v>3.0</v>
      </c>
      <c r="D83" s="152"/>
      <c r="E83" s="153"/>
      <c r="F83" s="153"/>
      <c r="G83" s="153"/>
      <c r="H83" s="153"/>
      <c r="I83" s="154"/>
      <c r="J83" s="153"/>
      <c r="K83" s="153"/>
      <c r="L83" s="153"/>
      <c r="M83" s="153"/>
      <c r="N83" s="153"/>
      <c r="O83" s="155"/>
      <c r="P83" s="152"/>
      <c r="Q83" s="153"/>
      <c r="R83" s="153"/>
      <c r="S83" s="153"/>
      <c r="T83" s="154"/>
    </row>
    <row r="84">
      <c r="A84" s="156">
        <v>1141000.0</v>
      </c>
      <c r="B84" s="157" t="s">
        <v>1758</v>
      </c>
      <c r="C84" s="158">
        <v>4.0</v>
      </c>
      <c r="D84" s="159"/>
      <c r="E84" s="160"/>
      <c r="F84" s="160"/>
      <c r="G84" s="160"/>
      <c r="H84" s="160"/>
      <c r="I84" s="161"/>
      <c r="J84" s="160"/>
      <c r="K84" s="160"/>
      <c r="L84" s="160"/>
      <c r="M84" s="160"/>
      <c r="N84" s="160"/>
      <c r="O84" s="162"/>
      <c r="P84" s="159"/>
      <c r="Q84" s="160"/>
      <c r="R84" s="160"/>
      <c r="S84" s="160"/>
      <c r="T84" s="161"/>
    </row>
    <row r="85">
      <c r="A85" s="171">
        <v>1141100.0</v>
      </c>
      <c r="B85" s="172" t="s">
        <v>1759</v>
      </c>
      <c r="C85" s="173">
        <v>5.0</v>
      </c>
      <c r="D85" s="174"/>
      <c r="E85" s="175"/>
      <c r="F85" s="175"/>
      <c r="G85" s="175"/>
      <c r="H85" s="175"/>
      <c r="I85" s="176"/>
      <c r="J85" s="175"/>
      <c r="K85" s="175"/>
      <c r="L85" s="175"/>
      <c r="M85" s="175"/>
      <c r="N85" s="175"/>
      <c r="O85" s="177"/>
      <c r="P85" s="174"/>
      <c r="Q85" s="175"/>
      <c r="R85" s="175"/>
      <c r="S85" s="175"/>
      <c r="T85" s="176"/>
    </row>
    <row r="86">
      <c r="A86" s="163">
        <v>1141101.0</v>
      </c>
      <c r="B86" s="164" t="s">
        <v>229</v>
      </c>
      <c r="C86" s="165">
        <v>7.0</v>
      </c>
      <c r="D86" s="166">
        <v>1.0</v>
      </c>
      <c r="E86" s="167">
        <v>1.0</v>
      </c>
      <c r="F86" s="167">
        <v>1.0</v>
      </c>
      <c r="G86" s="167">
        <v>1.0</v>
      </c>
      <c r="H86" s="167">
        <v>1.0</v>
      </c>
      <c r="I86" s="168">
        <v>1.0</v>
      </c>
      <c r="J86" s="167">
        <v>1.0</v>
      </c>
      <c r="K86" s="167">
        <v>1.0</v>
      </c>
      <c r="L86" s="167">
        <v>1.0</v>
      </c>
      <c r="M86" s="167">
        <v>1.0</v>
      </c>
      <c r="N86" s="167">
        <v>1.0</v>
      </c>
      <c r="O86" s="169">
        <v>1.0</v>
      </c>
      <c r="P86" s="166">
        <v>1.0</v>
      </c>
      <c r="Q86" s="167">
        <v>1.0</v>
      </c>
      <c r="R86" s="167">
        <v>1.0</v>
      </c>
      <c r="S86" s="167">
        <v>1.0</v>
      </c>
      <c r="T86" s="168">
        <v>1.0</v>
      </c>
      <c r="U86" s="170">
        <f t="shared" ref="U86:U117" si="24">if(I86+O86&gt;0,1,"")</f>
        <v>1</v>
      </c>
      <c r="V86" s="170">
        <f t="shared" ref="V86:V117" si="25">if(T86&gt;0,1,"")</f>
        <v>1</v>
      </c>
    </row>
    <row r="87">
      <c r="A87" s="163">
        <v>1141102.0</v>
      </c>
      <c r="B87" s="164" t="s">
        <v>231</v>
      </c>
      <c r="C87" s="165">
        <v>7.0</v>
      </c>
      <c r="D87" s="166">
        <v>1.0</v>
      </c>
      <c r="E87" s="167">
        <v>1.0</v>
      </c>
      <c r="F87" s="167">
        <v>1.0</v>
      </c>
      <c r="G87" s="167">
        <v>1.0</v>
      </c>
      <c r="H87" s="167">
        <v>1.0</v>
      </c>
      <c r="I87" s="168">
        <v>1.0</v>
      </c>
      <c r="J87" s="167">
        <v>1.0</v>
      </c>
      <c r="K87" s="167">
        <v>1.0</v>
      </c>
      <c r="L87" s="167">
        <v>1.0</v>
      </c>
      <c r="M87" s="167">
        <v>1.0</v>
      </c>
      <c r="N87" s="167">
        <v>1.0</v>
      </c>
      <c r="O87" s="169">
        <v>1.0</v>
      </c>
      <c r="P87" s="166">
        <v>1.0</v>
      </c>
      <c r="Q87" s="167">
        <v>1.0</v>
      </c>
      <c r="R87" s="167">
        <v>1.0</v>
      </c>
      <c r="S87" s="167">
        <v>1.0</v>
      </c>
      <c r="T87" s="168">
        <v>1.0</v>
      </c>
      <c r="U87" s="170">
        <f t="shared" si="24"/>
        <v>1</v>
      </c>
      <c r="V87" s="170">
        <f t="shared" si="25"/>
        <v>1</v>
      </c>
    </row>
    <row r="88">
      <c r="A88" s="163">
        <v>1141103.0</v>
      </c>
      <c r="B88" s="164" t="s">
        <v>233</v>
      </c>
      <c r="C88" s="165">
        <v>7.0</v>
      </c>
      <c r="D88" s="166">
        <v>1.0</v>
      </c>
      <c r="E88" s="167">
        <v>1.0</v>
      </c>
      <c r="F88" s="167">
        <v>1.0</v>
      </c>
      <c r="G88" s="167">
        <v>1.0</v>
      </c>
      <c r="H88" s="167">
        <v>1.0</v>
      </c>
      <c r="I88" s="168">
        <v>1.0</v>
      </c>
      <c r="J88" s="167">
        <v>1.0</v>
      </c>
      <c r="K88" s="167">
        <v>1.0</v>
      </c>
      <c r="L88" s="167">
        <v>1.0</v>
      </c>
      <c r="M88" s="167">
        <v>1.0</v>
      </c>
      <c r="N88" s="167">
        <v>1.0</v>
      </c>
      <c r="O88" s="169">
        <v>1.0</v>
      </c>
      <c r="P88" s="166">
        <v>1.0</v>
      </c>
      <c r="Q88" s="167">
        <v>1.0</v>
      </c>
      <c r="R88" s="167">
        <v>1.0</v>
      </c>
      <c r="S88" s="167">
        <v>1.0</v>
      </c>
      <c r="T88" s="168">
        <v>1.0</v>
      </c>
      <c r="U88" s="170">
        <f t="shared" si="24"/>
        <v>1</v>
      </c>
      <c r="V88" s="170">
        <f t="shared" si="25"/>
        <v>1</v>
      </c>
    </row>
    <row r="89">
      <c r="A89" s="163">
        <v>1141104.0</v>
      </c>
      <c r="B89" s="164" t="s">
        <v>235</v>
      </c>
      <c r="C89" s="165">
        <v>7.0</v>
      </c>
      <c r="D89" s="166">
        <v>1.0</v>
      </c>
      <c r="E89" s="167">
        <v>1.0</v>
      </c>
      <c r="F89" s="167">
        <v>1.0</v>
      </c>
      <c r="G89" s="167">
        <v>1.0</v>
      </c>
      <c r="H89" s="167">
        <v>1.0</v>
      </c>
      <c r="I89" s="168">
        <v>1.0</v>
      </c>
      <c r="J89" s="167">
        <v>1.0</v>
      </c>
      <c r="K89" s="167">
        <v>1.0</v>
      </c>
      <c r="L89" s="167">
        <v>1.0</v>
      </c>
      <c r="M89" s="167">
        <v>1.0</v>
      </c>
      <c r="N89" s="167">
        <v>1.0</v>
      </c>
      <c r="O89" s="169">
        <v>1.0</v>
      </c>
      <c r="P89" s="166">
        <v>1.0</v>
      </c>
      <c r="Q89" s="167">
        <v>1.0</v>
      </c>
      <c r="R89" s="167">
        <v>1.0</v>
      </c>
      <c r="S89" s="167">
        <v>1.0</v>
      </c>
      <c r="T89" s="168">
        <v>1.0</v>
      </c>
      <c r="U89" s="170">
        <f t="shared" si="24"/>
        <v>1</v>
      </c>
      <c r="V89" s="170">
        <f t="shared" si="25"/>
        <v>1</v>
      </c>
    </row>
    <row r="90">
      <c r="A90" s="163">
        <v>1141105.0</v>
      </c>
      <c r="B90" s="164" t="s">
        <v>237</v>
      </c>
      <c r="C90" s="165">
        <v>7.0</v>
      </c>
      <c r="D90" s="166">
        <v>1.0</v>
      </c>
      <c r="E90" s="167">
        <v>1.0</v>
      </c>
      <c r="F90" s="167">
        <v>1.0</v>
      </c>
      <c r="G90" s="167">
        <v>1.0</v>
      </c>
      <c r="H90" s="167">
        <v>1.0</v>
      </c>
      <c r="I90" s="168">
        <v>1.0</v>
      </c>
      <c r="J90" s="167">
        <v>1.0</v>
      </c>
      <c r="K90" s="167">
        <v>1.0</v>
      </c>
      <c r="L90" s="167">
        <v>1.0</v>
      </c>
      <c r="M90" s="167">
        <v>1.0</v>
      </c>
      <c r="N90" s="167">
        <v>1.0</v>
      </c>
      <c r="O90" s="169">
        <v>1.0</v>
      </c>
      <c r="P90" s="166">
        <v>1.0</v>
      </c>
      <c r="Q90" s="167">
        <v>1.0</v>
      </c>
      <c r="R90" s="167">
        <v>1.0</v>
      </c>
      <c r="S90" s="167">
        <v>1.0</v>
      </c>
      <c r="T90" s="168">
        <v>1.0</v>
      </c>
      <c r="U90" s="170">
        <f t="shared" si="24"/>
        <v>1</v>
      </c>
      <c r="V90" s="170">
        <f t="shared" si="25"/>
        <v>1</v>
      </c>
    </row>
    <row r="91">
      <c r="A91" s="163">
        <v>1141106.0</v>
      </c>
      <c r="B91" s="164" t="s">
        <v>240</v>
      </c>
      <c r="C91" s="165">
        <v>7.0</v>
      </c>
      <c r="D91" s="166">
        <v>1.0</v>
      </c>
      <c r="E91" s="167">
        <v>1.0</v>
      </c>
      <c r="F91" s="167">
        <v>1.0</v>
      </c>
      <c r="G91" s="167">
        <v>1.0</v>
      </c>
      <c r="H91" s="167">
        <v>1.0</v>
      </c>
      <c r="I91" s="168">
        <v>1.0</v>
      </c>
      <c r="J91" s="167">
        <v>1.0</v>
      </c>
      <c r="K91" s="167">
        <v>1.0</v>
      </c>
      <c r="L91" s="167">
        <v>1.0</v>
      </c>
      <c r="M91" s="167">
        <v>1.0</v>
      </c>
      <c r="N91" s="167">
        <v>1.0</v>
      </c>
      <c r="O91" s="169">
        <v>1.0</v>
      </c>
      <c r="P91" s="166">
        <v>1.0</v>
      </c>
      <c r="Q91" s="167">
        <v>1.0</v>
      </c>
      <c r="R91" s="167">
        <v>1.0</v>
      </c>
      <c r="S91" s="167">
        <v>1.0</v>
      </c>
      <c r="T91" s="168">
        <v>1.0</v>
      </c>
      <c r="U91" s="170">
        <f t="shared" si="24"/>
        <v>1</v>
      </c>
      <c r="V91" s="170">
        <f t="shared" si="25"/>
        <v>1</v>
      </c>
    </row>
    <row r="92">
      <c r="A92" s="163">
        <v>1141107.0</v>
      </c>
      <c r="B92" s="164" t="s">
        <v>242</v>
      </c>
      <c r="C92" s="165">
        <v>7.0</v>
      </c>
      <c r="D92" s="166">
        <v>1.0</v>
      </c>
      <c r="E92" s="167">
        <v>1.0</v>
      </c>
      <c r="F92" s="167">
        <v>1.0</v>
      </c>
      <c r="G92" s="167">
        <v>1.0</v>
      </c>
      <c r="H92" s="167">
        <v>1.0</v>
      </c>
      <c r="I92" s="168">
        <v>1.0</v>
      </c>
      <c r="J92" s="167">
        <v>1.0</v>
      </c>
      <c r="K92" s="167">
        <v>1.0</v>
      </c>
      <c r="L92" s="167">
        <v>1.0</v>
      </c>
      <c r="M92" s="167">
        <v>1.0</v>
      </c>
      <c r="N92" s="167">
        <v>1.0</v>
      </c>
      <c r="O92" s="169">
        <v>1.0</v>
      </c>
      <c r="P92" s="166">
        <v>1.0</v>
      </c>
      <c r="Q92" s="167">
        <v>1.0</v>
      </c>
      <c r="R92" s="167">
        <v>1.0</v>
      </c>
      <c r="S92" s="167">
        <v>1.0</v>
      </c>
      <c r="T92" s="168">
        <v>1.0</v>
      </c>
      <c r="U92" s="170">
        <f t="shared" si="24"/>
        <v>1</v>
      </c>
      <c r="V92" s="170">
        <f t="shared" si="25"/>
        <v>1</v>
      </c>
    </row>
    <row r="93">
      <c r="A93" s="163">
        <v>1141108.0</v>
      </c>
      <c r="B93" s="164" t="s">
        <v>244</v>
      </c>
      <c r="C93" s="165">
        <v>7.0</v>
      </c>
      <c r="D93" s="166">
        <v>1.0</v>
      </c>
      <c r="E93" s="167">
        <v>1.0</v>
      </c>
      <c r="F93" s="167">
        <v>1.0</v>
      </c>
      <c r="G93" s="167">
        <v>1.0</v>
      </c>
      <c r="H93" s="167">
        <v>1.0</v>
      </c>
      <c r="I93" s="168">
        <v>1.0</v>
      </c>
      <c r="J93" s="167">
        <v>1.0</v>
      </c>
      <c r="K93" s="167">
        <v>1.0</v>
      </c>
      <c r="L93" s="167">
        <v>1.0</v>
      </c>
      <c r="M93" s="167">
        <v>1.0</v>
      </c>
      <c r="N93" s="167">
        <v>1.0</v>
      </c>
      <c r="O93" s="169">
        <v>1.0</v>
      </c>
      <c r="P93" s="166">
        <v>1.0</v>
      </c>
      <c r="Q93" s="167">
        <v>1.0</v>
      </c>
      <c r="R93" s="167">
        <v>1.0</v>
      </c>
      <c r="S93" s="167">
        <v>1.0</v>
      </c>
      <c r="T93" s="168">
        <v>1.0</v>
      </c>
      <c r="U93" s="170">
        <f t="shared" si="24"/>
        <v>1</v>
      </c>
      <c r="V93" s="170">
        <f t="shared" si="25"/>
        <v>1</v>
      </c>
    </row>
    <row r="94">
      <c r="A94" s="163">
        <v>1141109.0</v>
      </c>
      <c r="B94" s="164" t="s">
        <v>246</v>
      </c>
      <c r="C94" s="165">
        <v>7.0</v>
      </c>
      <c r="D94" s="166">
        <v>1.0</v>
      </c>
      <c r="E94" s="167">
        <v>1.0</v>
      </c>
      <c r="F94" s="167">
        <v>1.0</v>
      </c>
      <c r="G94" s="167">
        <v>1.0</v>
      </c>
      <c r="H94" s="167">
        <v>1.0</v>
      </c>
      <c r="I94" s="168">
        <v>1.0</v>
      </c>
      <c r="J94" s="167">
        <v>1.0</v>
      </c>
      <c r="K94" s="167">
        <v>1.0</v>
      </c>
      <c r="L94" s="167">
        <v>1.0</v>
      </c>
      <c r="M94" s="167">
        <v>1.0</v>
      </c>
      <c r="N94" s="167">
        <v>1.0</v>
      </c>
      <c r="O94" s="169">
        <v>1.0</v>
      </c>
      <c r="P94" s="166">
        <v>1.0</v>
      </c>
      <c r="Q94" s="167">
        <v>1.0</v>
      </c>
      <c r="R94" s="167">
        <v>1.0</v>
      </c>
      <c r="S94" s="167">
        <v>1.0</v>
      </c>
      <c r="T94" s="168">
        <v>1.0</v>
      </c>
      <c r="U94" s="170">
        <f t="shared" si="24"/>
        <v>1</v>
      </c>
      <c r="V94" s="170">
        <f t="shared" si="25"/>
        <v>1</v>
      </c>
    </row>
    <row r="95">
      <c r="A95" s="163">
        <v>1141110.0</v>
      </c>
      <c r="B95" s="164" t="s">
        <v>248</v>
      </c>
      <c r="C95" s="165">
        <v>7.0</v>
      </c>
      <c r="D95" s="166">
        <v>1.0</v>
      </c>
      <c r="E95" s="167">
        <v>1.0</v>
      </c>
      <c r="F95" s="167">
        <v>1.0</v>
      </c>
      <c r="G95" s="167">
        <v>1.0</v>
      </c>
      <c r="H95" s="167">
        <v>1.0</v>
      </c>
      <c r="I95" s="168">
        <v>1.0</v>
      </c>
      <c r="J95" s="167">
        <v>1.0</v>
      </c>
      <c r="K95" s="167">
        <v>1.0</v>
      </c>
      <c r="L95" s="167">
        <v>1.0</v>
      </c>
      <c r="M95" s="167">
        <v>1.0</v>
      </c>
      <c r="N95" s="167">
        <v>1.0</v>
      </c>
      <c r="O95" s="169">
        <v>1.0</v>
      </c>
      <c r="P95" s="166">
        <v>1.0</v>
      </c>
      <c r="Q95" s="167">
        <v>1.0</v>
      </c>
      <c r="R95" s="167">
        <v>1.0</v>
      </c>
      <c r="S95" s="167">
        <v>1.0</v>
      </c>
      <c r="T95" s="168">
        <v>1.0</v>
      </c>
      <c r="U95" s="170">
        <f t="shared" si="24"/>
        <v>1</v>
      </c>
      <c r="V95" s="170">
        <f t="shared" si="25"/>
        <v>1</v>
      </c>
    </row>
    <row r="96">
      <c r="A96" s="163">
        <v>1141111.0</v>
      </c>
      <c r="B96" s="164" t="s">
        <v>250</v>
      </c>
      <c r="C96" s="165">
        <v>7.0</v>
      </c>
      <c r="D96" s="166">
        <v>1.0</v>
      </c>
      <c r="E96" s="167">
        <v>1.0</v>
      </c>
      <c r="F96" s="167">
        <v>1.0</v>
      </c>
      <c r="G96" s="167">
        <v>1.0</v>
      </c>
      <c r="H96" s="167">
        <v>1.0</v>
      </c>
      <c r="I96" s="168">
        <v>1.0</v>
      </c>
      <c r="J96" s="167">
        <v>1.0</v>
      </c>
      <c r="K96" s="167">
        <v>1.0</v>
      </c>
      <c r="L96" s="167">
        <v>1.0</v>
      </c>
      <c r="M96" s="167">
        <v>1.0</v>
      </c>
      <c r="N96" s="167">
        <v>1.0</v>
      </c>
      <c r="O96" s="169">
        <v>1.0</v>
      </c>
      <c r="P96" s="166">
        <v>1.0</v>
      </c>
      <c r="Q96" s="167">
        <v>1.0</v>
      </c>
      <c r="R96" s="167">
        <v>1.0</v>
      </c>
      <c r="S96" s="167">
        <v>1.0</v>
      </c>
      <c r="T96" s="168">
        <v>1.0</v>
      </c>
      <c r="U96" s="170">
        <f t="shared" si="24"/>
        <v>1</v>
      </c>
      <c r="V96" s="170">
        <f t="shared" si="25"/>
        <v>1</v>
      </c>
    </row>
    <row r="97">
      <c r="A97" s="163">
        <v>1141112.0</v>
      </c>
      <c r="B97" s="164" t="s">
        <v>252</v>
      </c>
      <c r="C97" s="165">
        <v>7.0</v>
      </c>
      <c r="D97" s="166">
        <v>1.0</v>
      </c>
      <c r="E97" s="167">
        <v>1.0</v>
      </c>
      <c r="F97" s="167">
        <v>1.0</v>
      </c>
      <c r="G97" s="167">
        <v>1.0</v>
      </c>
      <c r="H97" s="167">
        <v>1.0</v>
      </c>
      <c r="I97" s="168">
        <v>1.0</v>
      </c>
      <c r="J97" s="167">
        <v>1.0</v>
      </c>
      <c r="K97" s="167">
        <v>1.0</v>
      </c>
      <c r="L97" s="167">
        <v>1.0</v>
      </c>
      <c r="M97" s="167">
        <v>1.0</v>
      </c>
      <c r="N97" s="167">
        <v>1.0</v>
      </c>
      <c r="O97" s="169">
        <v>1.0</v>
      </c>
      <c r="P97" s="166">
        <v>1.0</v>
      </c>
      <c r="Q97" s="167">
        <v>1.0</v>
      </c>
      <c r="R97" s="167">
        <v>1.0</v>
      </c>
      <c r="S97" s="167">
        <v>1.0</v>
      </c>
      <c r="T97" s="168">
        <v>1.0</v>
      </c>
      <c r="U97" s="170">
        <f t="shared" si="24"/>
        <v>1</v>
      </c>
      <c r="V97" s="170">
        <f t="shared" si="25"/>
        <v>1</v>
      </c>
    </row>
    <row r="98">
      <c r="A98" s="163">
        <v>1141113.0</v>
      </c>
      <c r="B98" s="164" t="s">
        <v>254</v>
      </c>
      <c r="C98" s="165">
        <v>7.0</v>
      </c>
      <c r="D98" s="166">
        <v>1.0</v>
      </c>
      <c r="E98" s="167">
        <v>1.0</v>
      </c>
      <c r="F98" s="167">
        <v>1.0</v>
      </c>
      <c r="G98" s="167">
        <v>1.0</v>
      </c>
      <c r="H98" s="167">
        <v>1.0</v>
      </c>
      <c r="I98" s="168">
        <v>1.0</v>
      </c>
      <c r="J98" s="167">
        <v>1.0</v>
      </c>
      <c r="K98" s="167">
        <v>1.0</v>
      </c>
      <c r="L98" s="167">
        <v>1.0</v>
      </c>
      <c r="M98" s="167">
        <v>1.0</v>
      </c>
      <c r="N98" s="167">
        <v>1.0</v>
      </c>
      <c r="O98" s="169">
        <v>1.0</v>
      </c>
      <c r="P98" s="166">
        <v>1.0</v>
      </c>
      <c r="Q98" s="167">
        <v>1.0</v>
      </c>
      <c r="R98" s="167">
        <v>1.0</v>
      </c>
      <c r="S98" s="167">
        <v>1.0</v>
      </c>
      <c r="T98" s="168">
        <v>1.0</v>
      </c>
      <c r="U98" s="170">
        <f t="shared" si="24"/>
        <v>1</v>
      </c>
      <c r="V98" s="170">
        <f t="shared" si="25"/>
        <v>1</v>
      </c>
    </row>
    <row r="99">
      <c r="A99" s="163">
        <v>1141114.0</v>
      </c>
      <c r="B99" s="164" t="s">
        <v>256</v>
      </c>
      <c r="C99" s="165">
        <v>7.0</v>
      </c>
      <c r="D99" s="166">
        <v>1.0</v>
      </c>
      <c r="E99" s="167">
        <v>1.0</v>
      </c>
      <c r="F99" s="167">
        <v>1.0</v>
      </c>
      <c r="G99" s="167">
        <v>1.0</v>
      </c>
      <c r="H99" s="167">
        <v>1.0</v>
      </c>
      <c r="I99" s="168">
        <v>1.0</v>
      </c>
      <c r="J99" s="167">
        <v>1.0</v>
      </c>
      <c r="K99" s="167">
        <v>1.0</v>
      </c>
      <c r="L99" s="167">
        <v>1.0</v>
      </c>
      <c r="M99" s="167">
        <v>1.0</v>
      </c>
      <c r="N99" s="167">
        <v>1.0</v>
      </c>
      <c r="O99" s="169">
        <v>1.0</v>
      </c>
      <c r="P99" s="166">
        <v>1.0</v>
      </c>
      <c r="Q99" s="167">
        <v>1.0</v>
      </c>
      <c r="R99" s="167">
        <v>1.0</v>
      </c>
      <c r="S99" s="167">
        <v>1.0</v>
      </c>
      <c r="T99" s="168">
        <v>1.0</v>
      </c>
      <c r="U99" s="170">
        <f t="shared" si="24"/>
        <v>1</v>
      </c>
      <c r="V99" s="170">
        <f t="shared" si="25"/>
        <v>1</v>
      </c>
    </row>
    <row r="100">
      <c r="A100" s="163">
        <v>1141115.0</v>
      </c>
      <c r="B100" s="164" t="s">
        <v>258</v>
      </c>
      <c r="C100" s="165">
        <v>7.0</v>
      </c>
      <c r="D100" s="166">
        <v>1.0</v>
      </c>
      <c r="E100" s="167">
        <v>1.0</v>
      </c>
      <c r="F100" s="167">
        <v>1.0</v>
      </c>
      <c r="G100" s="167">
        <v>1.0</v>
      </c>
      <c r="H100" s="167">
        <v>1.0</v>
      </c>
      <c r="I100" s="168">
        <v>1.0</v>
      </c>
      <c r="J100" s="167">
        <v>1.0</v>
      </c>
      <c r="K100" s="167">
        <v>1.0</v>
      </c>
      <c r="L100" s="167">
        <v>1.0</v>
      </c>
      <c r="M100" s="167">
        <v>1.0</v>
      </c>
      <c r="N100" s="167">
        <v>1.0</v>
      </c>
      <c r="O100" s="169">
        <v>1.0</v>
      </c>
      <c r="P100" s="166">
        <v>1.0</v>
      </c>
      <c r="Q100" s="167">
        <v>1.0</v>
      </c>
      <c r="R100" s="167">
        <v>1.0</v>
      </c>
      <c r="S100" s="167">
        <v>1.0</v>
      </c>
      <c r="T100" s="168">
        <v>1.0</v>
      </c>
      <c r="U100" s="170">
        <f t="shared" si="24"/>
        <v>1</v>
      </c>
      <c r="V100" s="170">
        <f t="shared" si="25"/>
        <v>1</v>
      </c>
    </row>
    <row r="101">
      <c r="A101" s="163">
        <v>1141116.0</v>
      </c>
      <c r="B101" s="164" t="s">
        <v>260</v>
      </c>
      <c r="C101" s="165">
        <v>7.0</v>
      </c>
      <c r="D101" s="166">
        <v>1.0</v>
      </c>
      <c r="E101" s="167">
        <v>1.0</v>
      </c>
      <c r="F101" s="167">
        <v>1.0</v>
      </c>
      <c r="G101" s="167">
        <v>1.0</v>
      </c>
      <c r="H101" s="167">
        <v>1.0</v>
      </c>
      <c r="I101" s="168">
        <v>1.0</v>
      </c>
      <c r="J101" s="167">
        <v>1.0</v>
      </c>
      <c r="K101" s="167">
        <v>1.0</v>
      </c>
      <c r="L101" s="167">
        <v>1.0</v>
      </c>
      <c r="M101" s="167">
        <v>1.0</v>
      </c>
      <c r="N101" s="167">
        <v>1.0</v>
      </c>
      <c r="O101" s="169">
        <v>1.0</v>
      </c>
      <c r="P101" s="166">
        <v>1.0</v>
      </c>
      <c r="Q101" s="167">
        <v>1.0</v>
      </c>
      <c r="R101" s="167">
        <v>1.0</v>
      </c>
      <c r="S101" s="167">
        <v>1.0</v>
      </c>
      <c r="T101" s="168">
        <v>1.0</v>
      </c>
      <c r="U101" s="170">
        <f t="shared" si="24"/>
        <v>1</v>
      </c>
      <c r="V101" s="170">
        <f t="shared" si="25"/>
        <v>1</v>
      </c>
    </row>
    <row r="102">
      <c r="A102" s="163">
        <v>1141117.0</v>
      </c>
      <c r="B102" s="164" t="s">
        <v>263</v>
      </c>
      <c r="C102" s="165">
        <v>7.0</v>
      </c>
      <c r="D102" s="166">
        <v>1.0</v>
      </c>
      <c r="E102" s="167">
        <v>1.0</v>
      </c>
      <c r="F102" s="167">
        <v>1.0</v>
      </c>
      <c r="G102" s="167">
        <v>1.0</v>
      </c>
      <c r="H102" s="167">
        <v>1.0</v>
      </c>
      <c r="I102" s="168">
        <v>1.0</v>
      </c>
      <c r="J102" s="167">
        <v>1.0</v>
      </c>
      <c r="K102" s="167">
        <v>1.0</v>
      </c>
      <c r="L102" s="167">
        <v>1.0</v>
      </c>
      <c r="M102" s="167">
        <v>1.0</v>
      </c>
      <c r="N102" s="167">
        <v>1.0</v>
      </c>
      <c r="O102" s="169">
        <v>1.0</v>
      </c>
      <c r="P102" s="166">
        <v>1.0</v>
      </c>
      <c r="Q102" s="167">
        <v>1.0</v>
      </c>
      <c r="R102" s="167">
        <v>1.0</v>
      </c>
      <c r="S102" s="167">
        <v>1.0</v>
      </c>
      <c r="T102" s="168">
        <v>1.0</v>
      </c>
      <c r="U102" s="170">
        <f t="shared" si="24"/>
        <v>1</v>
      </c>
      <c r="V102" s="170">
        <f t="shared" si="25"/>
        <v>1</v>
      </c>
    </row>
    <row r="103">
      <c r="A103" s="163">
        <v>1141118.0</v>
      </c>
      <c r="B103" s="164" t="s">
        <v>265</v>
      </c>
      <c r="C103" s="165">
        <v>7.0</v>
      </c>
      <c r="D103" s="166">
        <v>1.0</v>
      </c>
      <c r="E103" s="167">
        <v>1.0</v>
      </c>
      <c r="F103" s="167">
        <v>1.0</v>
      </c>
      <c r="G103" s="167">
        <v>1.0</v>
      </c>
      <c r="H103" s="167">
        <v>1.0</v>
      </c>
      <c r="I103" s="168">
        <v>1.0</v>
      </c>
      <c r="J103" s="167">
        <v>1.0</v>
      </c>
      <c r="K103" s="167">
        <v>1.0</v>
      </c>
      <c r="L103" s="167">
        <v>1.0</v>
      </c>
      <c r="M103" s="167">
        <v>1.0</v>
      </c>
      <c r="N103" s="167">
        <v>1.0</v>
      </c>
      <c r="O103" s="169">
        <v>1.0</v>
      </c>
      <c r="P103" s="166">
        <v>1.0</v>
      </c>
      <c r="Q103" s="167">
        <v>1.0</v>
      </c>
      <c r="R103" s="167">
        <v>1.0</v>
      </c>
      <c r="S103" s="167">
        <v>1.0</v>
      </c>
      <c r="T103" s="168">
        <v>1.0</v>
      </c>
      <c r="U103" s="170">
        <f t="shared" si="24"/>
        <v>1</v>
      </c>
      <c r="V103" s="170">
        <f t="shared" si="25"/>
        <v>1</v>
      </c>
    </row>
    <row r="104">
      <c r="A104" s="163">
        <v>1141119.0</v>
      </c>
      <c r="B104" s="164" t="s">
        <v>267</v>
      </c>
      <c r="C104" s="165">
        <v>7.0</v>
      </c>
      <c r="D104" s="166">
        <v>1.0</v>
      </c>
      <c r="E104" s="178"/>
      <c r="F104" s="167">
        <v>1.0</v>
      </c>
      <c r="G104" s="178"/>
      <c r="H104" s="178"/>
      <c r="I104" s="168">
        <v>1.0</v>
      </c>
      <c r="J104" s="178"/>
      <c r="K104" s="178"/>
      <c r="L104" s="178"/>
      <c r="M104" s="178"/>
      <c r="N104" s="178"/>
      <c r="O104" s="179"/>
      <c r="P104" s="180"/>
      <c r="Q104" s="178"/>
      <c r="R104" s="178"/>
      <c r="S104" s="178"/>
      <c r="T104" s="181"/>
      <c r="U104" s="170">
        <f t="shared" si="24"/>
        <v>1</v>
      </c>
      <c r="V104" s="170" t="str">
        <f t="shared" si="25"/>
        <v/>
      </c>
    </row>
    <row r="105">
      <c r="A105" s="163">
        <v>1141121.0</v>
      </c>
      <c r="B105" s="164" t="s">
        <v>271</v>
      </c>
      <c r="C105" s="165">
        <v>7.0</v>
      </c>
      <c r="D105" s="166">
        <v>1.0</v>
      </c>
      <c r="E105" s="167">
        <v>1.0</v>
      </c>
      <c r="F105" s="167">
        <v>1.0</v>
      </c>
      <c r="G105" s="178"/>
      <c r="H105" s="178"/>
      <c r="I105" s="168">
        <v>1.0</v>
      </c>
      <c r="J105" s="167">
        <v>1.0</v>
      </c>
      <c r="K105" s="167">
        <v>1.0</v>
      </c>
      <c r="L105" s="178"/>
      <c r="M105" s="167">
        <v>1.0</v>
      </c>
      <c r="N105" s="167">
        <v>1.0</v>
      </c>
      <c r="O105" s="169">
        <v>1.0</v>
      </c>
      <c r="P105" s="166">
        <v>1.0</v>
      </c>
      <c r="Q105" s="178"/>
      <c r="R105" s="167">
        <v>1.0</v>
      </c>
      <c r="S105" s="178"/>
      <c r="T105" s="168">
        <v>1.0</v>
      </c>
      <c r="U105" s="170">
        <f t="shared" si="24"/>
        <v>1</v>
      </c>
      <c r="V105" s="170">
        <f t="shared" si="25"/>
        <v>1</v>
      </c>
    </row>
    <row r="106">
      <c r="A106" s="163">
        <v>1141122.0</v>
      </c>
      <c r="B106" s="164" t="s">
        <v>273</v>
      </c>
      <c r="C106" s="165">
        <v>7.0</v>
      </c>
      <c r="D106" s="184"/>
      <c r="E106" s="167">
        <v>1.0</v>
      </c>
      <c r="F106" s="167">
        <v>1.0</v>
      </c>
      <c r="G106" s="178"/>
      <c r="H106" s="178"/>
      <c r="I106" s="168">
        <v>1.0</v>
      </c>
      <c r="J106" s="167">
        <v>1.0</v>
      </c>
      <c r="K106" s="167">
        <v>1.0</v>
      </c>
      <c r="L106" s="178"/>
      <c r="M106" s="167">
        <v>1.0</v>
      </c>
      <c r="N106" s="167">
        <v>1.0</v>
      </c>
      <c r="O106" s="169">
        <v>1.0</v>
      </c>
      <c r="P106" s="166">
        <v>1.0</v>
      </c>
      <c r="Q106" s="178"/>
      <c r="R106" s="167">
        <v>1.0</v>
      </c>
      <c r="S106" s="167">
        <v>1.0</v>
      </c>
      <c r="T106" s="168">
        <v>1.0</v>
      </c>
      <c r="U106" s="170">
        <f t="shared" si="24"/>
        <v>1</v>
      </c>
      <c r="V106" s="170">
        <f t="shared" si="25"/>
        <v>1</v>
      </c>
    </row>
    <row r="107">
      <c r="A107" s="163">
        <v>1141123.0</v>
      </c>
      <c r="B107" s="164" t="s">
        <v>275</v>
      </c>
      <c r="C107" s="165">
        <v>7.0</v>
      </c>
      <c r="D107" s="166">
        <v>1.0</v>
      </c>
      <c r="E107" s="167">
        <v>1.0</v>
      </c>
      <c r="F107" s="167">
        <v>1.0</v>
      </c>
      <c r="G107" s="167">
        <v>1.0</v>
      </c>
      <c r="H107" s="167">
        <v>1.0</v>
      </c>
      <c r="I107" s="168">
        <v>1.0</v>
      </c>
      <c r="J107" s="167">
        <v>1.0</v>
      </c>
      <c r="K107" s="167">
        <v>1.0</v>
      </c>
      <c r="L107" s="167">
        <v>1.0</v>
      </c>
      <c r="M107" s="167">
        <v>1.0</v>
      </c>
      <c r="N107" s="167">
        <v>1.0</v>
      </c>
      <c r="O107" s="169">
        <v>1.0</v>
      </c>
      <c r="P107" s="166">
        <v>1.0</v>
      </c>
      <c r="Q107" s="167">
        <v>1.0</v>
      </c>
      <c r="R107" s="167">
        <v>1.0</v>
      </c>
      <c r="S107" s="167">
        <v>1.0</v>
      </c>
      <c r="T107" s="168">
        <v>1.0</v>
      </c>
      <c r="U107" s="170">
        <f t="shared" si="24"/>
        <v>1</v>
      </c>
      <c r="V107" s="170">
        <f t="shared" si="25"/>
        <v>1</v>
      </c>
    </row>
    <row r="108">
      <c r="A108" s="163">
        <v>1141126.0</v>
      </c>
      <c r="B108" s="164" t="s">
        <v>282</v>
      </c>
      <c r="C108" s="165">
        <v>7.0</v>
      </c>
      <c r="D108" s="166">
        <v>1.0</v>
      </c>
      <c r="E108" s="167">
        <v>1.0</v>
      </c>
      <c r="F108" s="167">
        <v>1.0</v>
      </c>
      <c r="G108" s="167">
        <v>1.0</v>
      </c>
      <c r="H108" s="167">
        <v>1.0</v>
      </c>
      <c r="I108" s="168">
        <v>1.0</v>
      </c>
      <c r="J108" s="167">
        <v>1.0</v>
      </c>
      <c r="K108" s="167">
        <v>1.0</v>
      </c>
      <c r="L108" s="167">
        <v>1.0</v>
      </c>
      <c r="M108" s="167">
        <v>1.0</v>
      </c>
      <c r="N108" s="167">
        <v>1.0</v>
      </c>
      <c r="O108" s="169">
        <v>1.0</v>
      </c>
      <c r="P108" s="166">
        <v>1.0</v>
      </c>
      <c r="Q108" s="167">
        <v>1.0</v>
      </c>
      <c r="R108" s="167">
        <v>1.0</v>
      </c>
      <c r="S108" s="167">
        <v>1.0</v>
      </c>
      <c r="T108" s="168">
        <v>1.0</v>
      </c>
      <c r="U108" s="170">
        <f t="shared" si="24"/>
        <v>1</v>
      </c>
      <c r="V108" s="170">
        <f t="shared" si="25"/>
        <v>1</v>
      </c>
    </row>
    <row r="109">
      <c r="A109" s="163">
        <v>1141127.0</v>
      </c>
      <c r="B109" s="164" t="s">
        <v>284</v>
      </c>
      <c r="C109" s="165">
        <v>7.0</v>
      </c>
      <c r="D109" s="166">
        <v>1.0</v>
      </c>
      <c r="E109" s="167">
        <v>1.0</v>
      </c>
      <c r="F109" s="167">
        <v>1.0</v>
      </c>
      <c r="G109" s="167">
        <v>1.0</v>
      </c>
      <c r="H109" s="167">
        <v>1.0</v>
      </c>
      <c r="I109" s="168">
        <v>1.0</v>
      </c>
      <c r="J109" s="167">
        <v>1.0</v>
      </c>
      <c r="K109" s="167">
        <v>1.0</v>
      </c>
      <c r="L109" s="167">
        <v>1.0</v>
      </c>
      <c r="M109" s="167">
        <v>1.0</v>
      </c>
      <c r="N109" s="167">
        <v>1.0</v>
      </c>
      <c r="O109" s="169">
        <v>1.0</v>
      </c>
      <c r="P109" s="166">
        <v>1.0</v>
      </c>
      <c r="Q109" s="167">
        <v>1.0</v>
      </c>
      <c r="R109" s="167">
        <v>1.0</v>
      </c>
      <c r="S109" s="167">
        <v>1.0</v>
      </c>
      <c r="T109" s="168">
        <v>1.0</v>
      </c>
      <c r="U109" s="170">
        <f t="shared" si="24"/>
        <v>1</v>
      </c>
      <c r="V109" s="170">
        <f t="shared" si="25"/>
        <v>1</v>
      </c>
    </row>
    <row r="110">
      <c r="A110" s="163">
        <v>1141128.0</v>
      </c>
      <c r="B110" s="164" t="s">
        <v>286</v>
      </c>
      <c r="C110" s="165">
        <v>7.0</v>
      </c>
      <c r="D110" s="166">
        <v>1.0</v>
      </c>
      <c r="E110" s="167">
        <v>1.0</v>
      </c>
      <c r="F110" s="167">
        <v>1.0</v>
      </c>
      <c r="G110" s="167">
        <v>1.0</v>
      </c>
      <c r="H110" s="178"/>
      <c r="I110" s="168">
        <v>1.0</v>
      </c>
      <c r="J110" s="167">
        <v>1.0</v>
      </c>
      <c r="K110" s="167">
        <v>1.0</v>
      </c>
      <c r="L110" s="167">
        <v>1.0</v>
      </c>
      <c r="M110" s="167">
        <v>1.0</v>
      </c>
      <c r="N110" s="178"/>
      <c r="O110" s="169">
        <v>1.0</v>
      </c>
      <c r="P110" s="166">
        <v>1.0</v>
      </c>
      <c r="Q110" s="167">
        <v>1.0</v>
      </c>
      <c r="R110" s="167">
        <v>1.0</v>
      </c>
      <c r="S110" s="178"/>
      <c r="T110" s="168">
        <v>1.0</v>
      </c>
      <c r="U110" s="170">
        <f t="shared" si="24"/>
        <v>1</v>
      </c>
      <c r="V110" s="170">
        <f t="shared" si="25"/>
        <v>1</v>
      </c>
    </row>
    <row r="111">
      <c r="A111" s="163">
        <v>1141129.0</v>
      </c>
      <c r="B111" s="164" t="s">
        <v>288</v>
      </c>
      <c r="C111" s="165">
        <v>7.0</v>
      </c>
      <c r="D111" s="166">
        <v>1.0</v>
      </c>
      <c r="E111" s="167">
        <v>1.0</v>
      </c>
      <c r="F111" s="167">
        <v>1.0</v>
      </c>
      <c r="G111" s="178"/>
      <c r="H111" s="167">
        <v>1.0</v>
      </c>
      <c r="I111" s="168">
        <v>1.0</v>
      </c>
      <c r="J111" s="167">
        <v>1.0</v>
      </c>
      <c r="K111" s="167">
        <v>1.0</v>
      </c>
      <c r="L111" s="178"/>
      <c r="M111" s="167">
        <v>1.0</v>
      </c>
      <c r="N111" s="167">
        <v>1.0</v>
      </c>
      <c r="O111" s="169">
        <v>1.0</v>
      </c>
      <c r="P111" s="166">
        <v>1.0</v>
      </c>
      <c r="Q111" s="178"/>
      <c r="R111" s="167">
        <v>1.0</v>
      </c>
      <c r="S111" s="167">
        <v>1.0</v>
      </c>
      <c r="T111" s="168">
        <v>1.0</v>
      </c>
      <c r="U111" s="170">
        <f t="shared" si="24"/>
        <v>1</v>
      </c>
      <c r="V111" s="170">
        <f t="shared" si="25"/>
        <v>1</v>
      </c>
    </row>
    <row r="112">
      <c r="A112" s="163">
        <v>1141131.0</v>
      </c>
      <c r="B112" s="164" t="s">
        <v>292</v>
      </c>
      <c r="C112" s="165">
        <v>7.0</v>
      </c>
      <c r="D112" s="166">
        <v>1.0</v>
      </c>
      <c r="E112" s="167">
        <v>1.0</v>
      </c>
      <c r="F112" s="167">
        <v>1.0</v>
      </c>
      <c r="G112" s="167">
        <v>1.0</v>
      </c>
      <c r="H112" s="167">
        <v>1.0</v>
      </c>
      <c r="I112" s="168">
        <v>1.0</v>
      </c>
      <c r="J112" s="167">
        <v>1.0</v>
      </c>
      <c r="K112" s="167">
        <v>1.0</v>
      </c>
      <c r="L112" s="167">
        <v>1.0</v>
      </c>
      <c r="M112" s="167">
        <v>1.0</v>
      </c>
      <c r="N112" s="167">
        <v>1.0</v>
      </c>
      <c r="O112" s="169">
        <v>1.0</v>
      </c>
      <c r="P112" s="166">
        <v>1.0</v>
      </c>
      <c r="Q112" s="167">
        <v>1.0</v>
      </c>
      <c r="R112" s="167">
        <v>1.0</v>
      </c>
      <c r="S112" s="167">
        <v>1.0</v>
      </c>
      <c r="T112" s="168">
        <v>1.0</v>
      </c>
      <c r="U112" s="170">
        <f t="shared" si="24"/>
        <v>1</v>
      </c>
      <c r="V112" s="170">
        <f t="shared" si="25"/>
        <v>1</v>
      </c>
    </row>
    <row r="113">
      <c r="A113" s="163">
        <v>1141132.0</v>
      </c>
      <c r="B113" s="164" t="s">
        <v>294</v>
      </c>
      <c r="C113" s="165">
        <v>7.0</v>
      </c>
      <c r="D113" s="166">
        <v>1.0</v>
      </c>
      <c r="E113" s="167">
        <v>1.0</v>
      </c>
      <c r="F113" s="167">
        <v>1.0</v>
      </c>
      <c r="G113" s="167">
        <v>1.0</v>
      </c>
      <c r="H113" s="167">
        <v>1.0</v>
      </c>
      <c r="I113" s="168">
        <v>1.0</v>
      </c>
      <c r="J113" s="167">
        <v>1.0</v>
      </c>
      <c r="K113" s="167">
        <v>1.0</v>
      </c>
      <c r="L113" s="167">
        <v>1.0</v>
      </c>
      <c r="M113" s="167">
        <v>1.0</v>
      </c>
      <c r="N113" s="167">
        <v>1.0</v>
      </c>
      <c r="O113" s="169">
        <v>1.0</v>
      </c>
      <c r="P113" s="166">
        <v>1.0</v>
      </c>
      <c r="Q113" s="167">
        <v>1.0</v>
      </c>
      <c r="R113" s="167">
        <v>1.0</v>
      </c>
      <c r="S113" s="167">
        <v>1.0</v>
      </c>
      <c r="T113" s="168">
        <v>1.0</v>
      </c>
      <c r="U113" s="170">
        <f t="shared" si="24"/>
        <v>1</v>
      </c>
      <c r="V113" s="170">
        <f t="shared" si="25"/>
        <v>1</v>
      </c>
    </row>
    <row r="114">
      <c r="A114" s="163">
        <v>1141133.0</v>
      </c>
      <c r="B114" s="164" t="s">
        <v>296</v>
      </c>
      <c r="C114" s="165">
        <v>7.0</v>
      </c>
      <c r="D114" s="166">
        <v>1.0</v>
      </c>
      <c r="E114" s="178"/>
      <c r="F114" s="167">
        <v>1.0</v>
      </c>
      <c r="G114" s="178"/>
      <c r="H114" s="178"/>
      <c r="I114" s="168">
        <v>1.0</v>
      </c>
      <c r="J114" s="178"/>
      <c r="K114" s="178"/>
      <c r="L114" s="178"/>
      <c r="M114" s="178"/>
      <c r="N114" s="178"/>
      <c r="O114" s="179"/>
      <c r="P114" s="180"/>
      <c r="Q114" s="178"/>
      <c r="R114" s="178"/>
      <c r="S114" s="178"/>
      <c r="T114" s="181"/>
      <c r="U114" s="170">
        <f t="shared" si="24"/>
        <v>1</v>
      </c>
      <c r="V114" s="170" t="str">
        <f t="shared" si="25"/>
        <v/>
      </c>
    </row>
    <row r="115">
      <c r="A115" s="163">
        <v>1141134.0</v>
      </c>
      <c r="B115" s="164" t="s">
        <v>298</v>
      </c>
      <c r="C115" s="165">
        <v>7.0</v>
      </c>
      <c r="D115" s="184"/>
      <c r="E115" s="167">
        <v>1.0</v>
      </c>
      <c r="F115" s="167">
        <v>1.0</v>
      </c>
      <c r="G115" s="167">
        <v>1.0</v>
      </c>
      <c r="H115" s="178"/>
      <c r="I115" s="168">
        <v>1.0</v>
      </c>
      <c r="J115" s="167">
        <v>1.0</v>
      </c>
      <c r="K115" s="167">
        <v>1.0</v>
      </c>
      <c r="L115" s="167">
        <v>1.0</v>
      </c>
      <c r="M115" s="167">
        <v>1.0</v>
      </c>
      <c r="N115" s="178"/>
      <c r="O115" s="169">
        <v>1.0</v>
      </c>
      <c r="P115" s="166">
        <v>1.0</v>
      </c>
      <c r="Q115" s="167">
        <v>1.0</v>
      </c>
      <c r="R115" s="167">
        <v>1.0</v>
      </c>
      <c r="S115" s="178"/>
      <c r="T115" s="168">
        <v>1.0</v>
      </c>
      <c r="U115" s="170">
        <f t="shared" si="24"/>
        <v>1</v>
      </c>
      <c r="V115" s="170">
        <f t="shared" si="25"/>
        <v>1</v>
      </c>
    </row>
    <row r="116">
      <c r="A116" s="163">
        <v>1141135.0</v>
      </c>
      <c r="B116" s="164" t="s">
        <v>300</v>
      </c>
      <c r="C116" s="165">
        <v>7.0</v>
      </c>
      <c r="D116" s="166">
        <v>1.0</v>
      </c>
      <c r="E116" s="167">
        <v>1.0</v>
      </c>
      <c r="F116" s="167">
        <v>1.0</v>
      </c>
      <c r="G116" s="167">
        <v>1.0</v>
      </c>
      <c r="H116" s="178"/>
      <c r="I116" s="168">
        <v>1.0</v>
      </c>
      <c r="J116" s="167">
        <v>1.0</v>
      </c>
      <c r="K116" s="167">
        <v>1.0</v>
      </c>
      <c r="L116" s="167">
        <v>1.0</v>
      </c>
      <c r="M116" s="167">
        <v>1.0</v>
      </c>
      <c r="N116" s="178"/>
      <c r="O116" s="169">
        <v>1.0</v>
      </c>
      <c r="P116" s="166">
        <v>1.0</v>
      </c>
      <c r="Q116" s="167">
        <v>1.0</v>
      </c>
      <c r="R116" s="167">
        <v>1.0</v>
      </c>
      <c r="S116" s="178"/>
      <c r="T116" s="168">
        <v>1.0</v>
      </c>
      <c r="U116" s="170">
        <f t="shared" si="24"/>
        <v>1</v>
      </c>
      <c r="V116" s="170">
        <f t="shared" si="25"/>
        <v>1</v>
      </c>
    </row>
    <row r="117">
      <c r="A117" s="163">
        <v>1141136.0</v>
      </c>
      <c r="B117" s="164" t="s">
        <v>302</v>
      </c>
      <c r="C117" s="165">
        <v>7.0</v>
      </c>
      <c r="D117" s="166">
        <v>1.0</v>
      </c>
      <c r="E117" s="167">
        <v>1.0</v>
      </c>
      <c r="F117" s="167">
        <v>1.0</v>
      </c>
      <c r="G117" s="167">
        <v>1.0</v>
      </c>
      <c r="H117" s="167">
        <v>1.0</v>
      </c>
      <c r="I117" s="168">
        <v>1.0</v>
      </c>
      <c r="J117" s="167">
        <v>1.0</v>
      </c>
      <c r="K117" s="167">
        <v>1.0</v>
      </c>
      <c r="L117" s="167">
        <v>1.0</v>
      </c>
      <c r="M117" s="167">
        <v>1.0</v>
      </c>
      <c r="N117" s="167">
        <v>1.0</v>
      </c>
      <c r="O117" s="169">
        <v>1.0</v>
      </c>
      <c r="P117" s="166">
        <v>1.0</v>
      </c>
      <c r="Q117" s="167">
        <v>1.0</v>
      </c>
      <c r="R117" s="167">
        <v>1.0</v>
      </c>
      <c r="S117" s="167">
        <v>1.0</v>
      </c>
      <c r="T117" s="168">
        <v>1.0</v>
      </c>
      <c r="U117" s="170">
        <f t="shared" si="24"/>
        <v>1</v>
      </c>
      <c r="V117" s="170">
        <f t="shared" si="25"/>
        <v>1</v>
      </c>
    </row>
    <row r="118">
      <c r="A118" s="171">
        <v>1141200.0</v>
      </c>
      <c r="B118" s="172" t="s">
        <v>1760</v>
      </c>
      <c r="C118" s="173">
        <v>5.0</v>
      </c>
      <c r="D118" s="174"/>
      <c r="E118" s="175"/>
      <c r="F118" s="175"/>
      <c r="G118" s="175"/>
      <c r="H118" s="175"/>
      <c r="I118" s="176"/>
      <c r="J118" s="175"/>
      <c r="K118" s="175"/>
      <c r="L118" s="175"/>
      <c r="M118" s="175"/>
      <c r="N118" s="175"/>
      <c r="O118" s="177"/>
      <c r="P118" s="174"/>
      <c r="Q118" s="175"/>
      <c r="R118" s="175"/>
      <c r="S118" s="175"/>
      <c r="T118" s="176"/>
    </row>
    <row r="119">
      <c r="A119" s="163">
        <v>1141201.0</v>
      </c>
      <c r="B119" s="164" t="s">
        <v>304</v>
      </c>
      <c r="C119" s="165">
        <v>7.0</v>
      </c>
      <c r="D119" s="166">
        <v>1.0</v>
      </c>
      <c r="E119" s="167">
        <v>1.0</v>
      </c>
      <c r="F119" s="167">
        <v>1.0</v>
      </c>
      <c r="G119" s="167">
        <v>1.0</v>
      </c>
      <c r="H119" s="167">
        <v>1.0</v>
      </c>
      <c r="I119" s="168">
        <v>1.0</v>
      </c>
      <c r="J119" s="167">
        <v>1.0</v>
      </c>
      <c r="K119" s="167">
        <v>1.0</v>
      </c>
      <c r="L119" s="167">
        <v>1.0</v>
      </c>
      <c r="M119" s="167">
        <v>1.0</v>
      </c>
      <c r="N119" s="167">
        <v>1.0</v>
      </c>
      <c r="O119" s="169">
        <v>1.0</v>
      </c>
      <c r="P119" s="166">
        <v>1.0</v>
      </c>
      <c r="Q119" s="167">
        <v>1.0</v>
      </c>
      <c r="R119" s="167">
        <v>1.0</v>
      </c>
      <c r="S119" s="167">
        <v>1.0</v>
      </c>
      <c r="T119" s="168">
        <v>1.0</v>
      </c>
      <c r="U119" s="170">
        <f t="shared" ref="U119:U123" si="26">if(I119+O119&gt;0,1,"")</f>
        <v>1</v>
      </c>
      <c r="V119" s="170">
        <f t="shared" ref="V119:V123" si="27">if(T119&gt;0,1,"")</f>
        <v>1</v>
      </c>
    </row>
    <row r="120">
      <c r="A120" s="163">
        <v>1141203.0</v>
      </c>
      <c r="B120" s="164" t="s">
        <v>308</v>
      </c>
      <c r="C120" s="165">
        <v>7.0</v>
      </c>
      <c r="D120" s="166">
        <v>1.0</v>
      </c>
      <c r="E120" s="167">
        <v>1.0</v>
      </c>
      <c r="F120" s="167">
        <v>1.0</v>
      </c>
      <c r="G120" s="167">
        <v>1.0</v>
      </c>
      <c r="H120" s="167">
        <v>1.0</v>
      </c>
      <c r="I120" s="168">
        <v>1.0</v>
      </c>
      <c r="J120" s="167">
        <v>1.0</v>
      </c>
      <c r="K120" s="167">
        <v>1.0</v>
      </c>
      <c r="L120" s="167">
        <v>1.0</v>
      </c>
      <c r="M120" s="167">
        <v>1.0</v>
      </c>
      <c r="N120" s="167">
        <v>1.0</v>
      </c>
      <c r="O120" s="169">
        <v>1.0</v>
      </c>
      <c r="P120" s="166">
        <v>1.0</v>
      </c>
      <c r="Q120" s="167">
        <v>1.0</v>
      </c>
      <c r="R120" s="167">
        <v>1.0</v>
      </c>
      <c r="S120" s="167">
        <v>1.0</v>
      </c>
      <c r="T120" s="168">
        <v>1.0</v>
      </c>
      <c r="U120" s="170">
        <f t="shared" si="26"/>
        <v>1</v>
      </c>
      <c r="V120" s="170">
        <f t="shared" si="27"/>
        <v>1</v>
      </c>
    </row>
    <row r="121">
      <c r="A121" s="163">
        <v>1141204.0</v>
      </c>
      <c r="B121" s="164" t="s">
        <v>310</v>
      </c>
      <c r="C121" s="165">
        <v>7.0</v>
      </c>
      <c r="D121" s="166">
        <v>1.0</v>
      </c>
      <c r="E121" s="167">
        <v>1.0</v>
      </c>
      <c r="F121" s="167">
        <v>1.0</v>
      </c>
      <c r="G121" s="167">
        <v>1.0</v>
      </c>
      <c r="H121" s="167">
        <v>1.0</v>
      </c>
      <c r="I121" s="168">
        <v>1.0</v>
      </c>
      <c r="J121" s="167">
        <v>1.0</v>
      </c>
      <c r="K121" s="167">
        <v>1.0</v>
      </c>
      <c r="L121" s="167">
        <v>1.0</v>
      </c>
      <c r="M121" s="167">
        <v>1.0</v>
      </c>
      <c r="N121" s="167">
        <v>1.0</v>
      </c>
      <c r="O121" s="169">
        <v>1.0</v>
      </c>
      <c r="P121" s="166">
        <v>1.0</v>
      </c>
      <c r="Q121" s="167">
        <v>1.0</v>
      </c>
      <c r="R121" s="167">
        <v>1.0</v>
      </c>
      <c r="S121" s="167">
        <v>1.0</v>
      </c>
      <c r="T121" s="168">
        <v>1.0</v>
      </c>
      <c r="U121" s="170">
        <f t="shared" si="26"/>
        <v>1</v>
      </c>
      <c r="V121" s="170">
        <f t="shared" si="27"/>
        <v>1</v>
      </c>
    </row>
    <row r="122">
      <c r="A122" s="163">
        <v>1141207.0</v>
      </c>
      <c r="B122" s="164" t="s">
        <v>316</v>
      </c>
      <c r="C122" s="165">
        <v>7.0</v>
      </c>
      <c r="D122" s="184"/>
      <c r="E122" s="178"/>
      <c r="F122" s="167">
        <v>1.0</v>
      </c>
      <c r="G122" s="167">
        <v>1.0</v>
      </c>
      <c r="H122" s="178"/>
      <c r="I122" s="168">
        <v>1.0</v>
      </c>
      <c r="J122" s="178"/>
      <c r="K122" s="167">
        <v>1.0</v>
      </c>
      <c r="L122" s="167">
        <v>1.0</v>
      </c>
      <c r="M122" s="167">
        <v>1.0</v>
      </c>
      <c r="N122" s="178"/>
      <c r="O122" s="169">
        <v>1.0</v>
      </c>
      <c r="P122" s="166">
        <v>1.0</v>
      </c>
      <c r="Q122" s="167">
        <v>1.0</v>
      </c>
      <c r="R122" s="167">
        <v>1.0</v>
      </c>
      <c r="S122" s="178"/>
      <c r="T122" s="168">
        <v>1.0</v>
      </c>
      <c r="U122" s="170">
        <f t="shared" si="26"/>
        <v>1</v>
      </c>
      <c r="V122" s="170">
        <f t="shared" si="27"/>
        <v>1</v>
      </c>
    </row>
    <row r="123">
      <c r="A123" s="163">
        <v>1141208.0</v>
      </c>
      <c r="B123" s="164" t="s">
        <v>318</v>
      </c>
      <c r="C123" s="165">
        <v>7.0</v>
      </c>
      <c r="D123" s="166">
        <v>1.0</v>
      </c>
      <c r="E123" s="167">
        <v>1.0</v>
      </c>
      <c r="F123" s="167">
        <v>1.0</v>
      </c>
      <c r="G123" s="167">
        <v>1.0</v>
      </c>
      <c r="H123" s="167">
        <v>1.0</v>
      </c>
      <c r="I123" s="168">
        <v>1.0</v>
      </c>
      <c r="J123" s="167">
        <v>1.0</v>
      </c>
      <c r="K123" s="167">
        <v>1.0</v>
      </c>
      <c r="L123" s="178"/>
      <c r="M123" s="167">
        <v>1.0</v>
      </c>
      <c r="N123" s="167">
        <v>1.0</v>
      </c>
      <c r="O123" s="169">
        <v>1.0</v>
      </c>
      <c r="P123" s="166">
        <v>1.0</v>
      </c>
      <c r="Q123" s="178"/>
      <c r="R123" s="167">
        <v>1.0</v>
      </c>
      <c r="S123" s="167">
        <v>1.0</v>
      </c>
      <c r="T123" s="168">
        <v>1.0</v>
      </c>
      <c r="U123" s="170">
        <f t="shared" si="26"/>
        <v>1</v>
      </c>
      <c r="V123" s="170">
        <f t="shared" si="27"/>
        <v>1</v>
      </c>
    </row>
    <row r="124">
      <c r="A124" s="156">
        <v>1142000.0</v>
      </c>
      <c r="B124" s="157" t="s">
        <v>1761</v>
      </c>
      <c r="C124" s="158">
        <v>4.0</v>
      </c>
      <c r="D124" s="159"/>
      <c r="E124" s="160"/>
      <c r="F124" s="160"/>
      <c r="G124" s="160"/>
      <c r="H124" s="160"/>
      <c r="I124" s="161"/>
      <c r="J124" s="160"/>
      <c r="K124" s="160"/>
      <c r="L124" s="160"/>
      <c r="M124" s="160"/>
      <c r="N124" s="160"/>
      <c r="O124" s="162"/>
      <c r="P124" s="159"/>
      <c r="Q124" s="160"/>
      <c r="R124" s="160"/>
      <c r="S124" s="160"/>
      <c r="T124" s="161"/>
    </row>
    <row r="125">
      <c r="A125" s="171">
        <v>1142100.0</v>
      </c>
      <c r="B125" s="172" t="s">
        <v>1762</v>
      </c>
      <c r="C125" s="173">
        <v>5.0</v>
      </c>
      <c r="D125" s="174"/>
      <c r="E125" s="175"/>
      <c r="F125" s="175"/>
      <c r="G125" s="175"/>
      <c r="H125" s="175"/>
      <c r="I125" s="176"/>
      <c r="J125" s="175"/>
      <c r="K125" s="175"/>
      <c r="L125" s="175"/>
      <c r="M125" s="175"/>
      <c r="N125" s="175"/>
      <c r="O125" s="177"/>
      <c r="P125" s="174"/>
      <c r="Q125" s="175"/>
      <c r="R125" s="175"/>
      <c r="S125" s="175"/>
      <c r="T125" s="176"/>
    </row>
    <row r="126">
      <c r="A126" s="163">
        <v>1142101.0</v>
      </c>
      <c r="B126" s="164" t="s">
        <v>322</v>
      </c>
      <c r="C126" s="165">
        <v>7.0</v>
      </c>
      <c r="D126" s="166">
        <v>1.0</v>
      </c>
      <c r="E126" s="167">
        <v>1.0</v>
      </c>
      <c r="F126" s="167">
        <v>1.0</v>
      </c>
      <c r="G126" s="167">
        <v>1.0</v>
      </c>
      <c r="H126" s="167">
        <v>1.0</v>
      </c>
      <c r="I126" s="168">
        <v>1.0</v>
      </c>
      <c r="J126" s="167">
        <v>1.0</v>
      </c>
      <c r="K126" s="167">
        <v>1.0</v>
      </c>
      <c r="L126" s="167">
        <v>1.0</v>
      </c>
      <c r="M126" s="167">
        <v>1.0</v>
      </c>
      <c r="N126" s="167">
        <v>1.0</v>
      </c>
      <c r="O126" s="169">
        <v>1.0</v>
      </c>
      <c r="P126" s="166">
        <v>1.0</v>
      </c>
      <c r="Q126" s="167">
        <v>1.0</v>
      </c>
      <c r="R126" s="167">
        <v>1.0</v>
      </c>
      <c r="S126" s="167">
        <v>1.0</v>
      </c>
      <c r="T126" s="168">
        <v>1.0</v>
      </c>
      <c r="U126" s="170">
        <f t="shared" ref="U126:U145" si="28">if(I126+O126&gt;0,1,"")</f>
        <v>1</v>
      </c>
      <c r="V126" s="170">
        <f t="shared" ref="V126:V145" si="29">if(T126&gt;0,1,"")</f>
        <v>1</v>
      </c>
    </row>
    <row r="127">
      <c r="A127" s="163">
        <v>1142102.0</v>
      </c>
      <c r="B127" s="164" t="s">
        <v>324</v>
      </c>
      <c r="C127" s="165">
        <v>7.0</v>
      </c>
      <c r="D127" s="166">
        <v>1.0</v>
      </c>
      <c r="E127" s="167">
        <v>1.0</v>
      </c>
      <c r="F127" s="167">
        <v>1.0</v>
      </c>
      <c r="G127" s="167">
        <v>1.0</v>
      </c>
      <c r="H127" s="167">
        <v>1.0</v>
      </c>
      <c r="I127" s="168">
        <v>1.0</v>
      </c>
      <c r="J127" s="167">
        <v>1.0</v>
      </c>
      <c r="K127" s="167">
        <v>1.0</v>
      </c>
      <c r="L127" s="167">
        <v>1.0</v>
      </c>
      <c r="M127" s="167">
        <v>1.0</v>
      </c>
      <c r="N127" s="167">
        <v>1.0</v>
      </c>
      <c r="O127" s="169">
        <v>1.0</v>
      </c>
      <c r="P127" s="166">
        <v>1.0</v>
      </c>
      <c r="Q127" s="167">
        <v>1.0</v>
      </c>
      <c r="R127" s="167">
        <v>1.0</v>
      </c>
      <c r="S127" s="167">
        <v>1.0</v>
      </c>
      <c r="T127" s="168">
        <v>1.0</v>
      </c>
      <c r="U127" s="170">
        <f t="shared" si="28"/>
        <v>1</v>
      </c>
      <c r="V127" s="170">
        <f t="shared" si="29"/>
        <v>1</v>
      </c>
    </row>
    <row r="128">
      <c r="A128" s="163">
        <v>1142103.0</v>
      </c>
      <c r="B128" s="164" t="s">
        <v>326</v>
      </c>
      <c r="C128" s="165">
        <v>7.0</v>
      </c>
      <c r="D128" s="166">
        <v>1.0</v>
      </c>
      <c r="E128" s="167">
        <v>1.0</v>
      </c>
      <c r="F128" s="167">
        <v>1.0</v>
      </c>
      <c r="G128" s="167">
        <v>1.0</v>
      </c>
      <c r="H128" s="167">
        <v>1.0</v>
      </c>
      <c r="I128" s="168">
        <v>1.0</v>
      </c>
      <c r="J128" s="167">
        <v>1.0</v>
      </c>
      <c r="K128" s="167">
        <v>1.0</v>
      </c>
      <c r="L128" s="167">
        <v>1.0</v>
      </c>
      <c r="M128" s="167">
        <v>1.0</v>
      </c>
      <c r="N128" s="167">
        <v>1.0</v>
      </c>
      <c r="O128" s="169">
        <v>1.0</v>
      </c>
      <c r="P128" s="166">
        <v>1.0</v>
      </c>
      <c r="Q128" s="167">
        <v>1.0</v>
      </c>
      <c r="R128" s="167">
        <v>1.0</v>
      </c>
      <c r="S128" s="167">
        <v>1.0</v>
      </c>
      <c r="T128" s="168">
        <v>1.0</v>
      </c>
      <c r="U128" s="170">
        <f t="shared" si="28"/>
        <v>1</v>
      </c>
      <c r="V128" s="170">
        <f t="shared" si="29"/>
        <v>1</v>
      </c>
    </row>
    <row r="129">
      <c r="A129" s="163">
        <v>1142104.0</v>
      </c>
      <c r="B129" s="164" t="s">
        <v>328</v>
      </c>
      <c r="C129" s="165">
        <v>7.0</v>
      </c>
      <c r="D129" s="166">
        <v>1.0</v>
      </c>
      <c r="E129" s="167">
        <v>1.0</v>
      </c>
      <c r="F129" s="167">
        <v>1.0</v>
      </c>
      <c r="G129" s="167">
        <v>1.0</v>
      </c>
      <c r="H129" s="167">
        <v>1.0</v>
      </c>
      <c r="I129" s="168">
        <v>1.0</v>
      </c>
      <c r="J129" s="167">
        <v>1.0</v>
      </c>
      <c r="K129" s="167">
        <v>1.0</v>
      </c>
      <c r="L129" s="167">
        <v>1.0</v>
      </c>
      <c r="M129" s="167">
        <v>1.0</v>
      </c>
      <c r="N129" s="167">
        <v>1.0</v>
      </c>
      <c r="O129" s="169">
        <v>1.0</v>
      </c>
      <c r="P129" s="166">
        <v>1.0</v>
      </c>
      <c r="Q129" s="167">
        <v>1.0</v>
      </c>
      <c r="R129" s="167">
        <v>1.0</v>
      </c>
      <c r="S129" s="167">
        <v>1.0</v>
      </c>
      <c r="T129" s="168">
        <v>1.0</v>
      </c>
      <c r="U129" s="170">
        <f t="shared" si="28"/>
        <v>1</v>
      </c>
      <c r="V129" s="170">
        <f t="shared" si="29"/>
        <v>1</v>
      </c>
    </row>
    <row r="130">
      <c r="A130" s="163">
        <v>1142105.0</v>
      </c>
      <c r="B130" s="164" t="s">
        <v>330</v>
      </c>
      <c r="C130" s="165">
        <v>7.0</v>
      </c>
      <c r="D130" s="166">
        <v>1.0</v>
      </c>
      <c r="E130" s="167">
        <v>1.0</v>
      </c>
      <c r="F130" s="167">
        <v>1.0</v>
      </c>
      <c r="G130" s="167">
        <v>1.0</v>
      </c>
      <c r="H130" s="167">
        <v>1.0</v>
      </c>
      <c r="I130" s="168">
        <v>1.0</v>
      </c>
      <c r="J130" s="167">
        <v>1.0</v>
      </c>
      <c r="K130" s="167">
        <v>1.0</v>
      </c>
      <c r="L130" s="167">
        <v>1.0</v>
      </c>
      <c r="M130" s="167">
        <v>1.0</v>
      </c>
      <c r="N130" s="167">
        <v>1.0</v>
      </c>
      <c r="O130" s="169">
        <v>1.0</v>
      </c>
      <c r="P130" s="166">
        <v>1.0</v>
      </c>
      <c r="Q130" s="167">
        <v>1.0</v>
      </c>
      <c r="R130" s="167">
        <v>1.0</v>
      </c>
      <c r="S130" s="167">
        <v>1.0</v>
      </c>
      <c r="T130" s="168">
        <v>1.0</v>
      </c>
      <c r="U130" s="170">
        <f t="shared" si="28"/>
        <v>1</v>
      </c>
      <c r="V130" s="170">
        <f t="shared" si="29"/>
        <v>1</v>
      </c>
    </row>
    <row r="131">
      <c r="A131" s="163">
        <v>1142106.0</v>
      </c>
      <c r="B131" s="164" t="s">
        <v>332</v>
      </c>
      <c r="C131" s="165">
        <v>7.0</v>
      </c>
      <c r="D131" s="166">
        <v>1.0</v>
      </c>
      <c r="E131" s="167">
        <v>1.0</v>
      </c>
      <c r="F131" s="167">
        <v>1.0</v>
      </c>
      <c r="G131" s="167">
        <v>1.0</v>
      </c>
      <c r="H131" s="167">
        <v>1.0</v>
      </c>
      <c r="I131" s="168">
        <v>1.0</v>
      </c>
      <c r="J131" s="167">
        <v>1.0</v>
      </c>
      <c r="K131" s="167">
        <v>1.0</v>
      </c>
      <c r="L131" s="167">
        <v>1.0</v>
      </c>
      <c r="M131" s="167">
        <v>1.0</v>
      </c>
      <c r="N131" s="167">
        <v>1.0</v>
      </c>
      <c r="O131" s="169">
        <v>1.0</v>
      </c>
      <c r="P131" s="166">
        <v>1.0</v>
      </c>
      <c r="Q131" s="167">
        <v>1.0</v>
      </c>
      <c r="R131" s="167">
        <v>1.0</v>
      </c>
      <c r="S131" s="167">
        <v>1.0</v>
      </c>
      <c r="T131" s="168">
        <v>1.0</v>
      </c>
      <c r="U131" s="170">
        <f t="shared" si="28"/>
        <v>1</v>
      </c>
      <c r="V131" s="170">
        <f t="shared" si="29"/>
        <v>1</v>
      </c>
    </row>
    <row r="132">
      <c r="A132" s="163">
        <v>1142107.0</v>
      </c>
      <c r="B132" s="164" t="s">
        <v>334</v>
      </c>
      <c r="C132" s="165">
        <v>7.0</v>
      </c>
      <c r="D132" s="166">
        <v>1.0</v>
      </c>
      <c r="E132" s="167">
        <v>1.0</v>
      </c>
      <c r="F132" s="167">
        <v>1.0</v>
      </c>
      <c r="G132" s="167">
        <v>1.0</v>
      </c>
      <c r="H132" s="167">
        <v>1.0</v>
      </c>
      <c r="I132" s="168">
        <v>1.0</v>
      </c>
      <c r="J132" s="167">
        <v>1.0</v>
      </c>
      <c r="K132" s="167">
        <v>1.0</v>
      </c>
      <c r="L132" s="167">
        <v>1.0</v>
      </c>
      <c r="M132" s="167">
        <v>1.0</v>
      </c>
      <c r="N132" s="167">
        <v>1.0</v>
      </c>
      <c r="O132" s="169">
        <v>1.0</v>
      </c>
      <c r="P132" s="166">
        <v>1.0</v>
      </c>
      <c r="Q132" s="167">
        <v>1.0</v>
      </c>
      <c r="R132" s="167">
        <v>1.0</v>
      </c>
      <c r="S132" s="167">
        <v>1.0</v>
      </c>
      <c r="T132" s="168">
        <v>1.0</v>
      </c>
      <c r="U132" s="170">
        <f t="shared" si="28"/>
        <v>1</v>
      </c>
      <c r="V132" s="170">
        <f t="shared" si="29"/>
        <v>1</v>
      </c>
    </row>
    <row r="133">
      <c r="A133" s="163">
        <v>1142108.0</v>
      </c>
      <c r="B133" s="164" t="s">
        <v>336</v>
      </c>
      <c r="C133" s="165">
        <v>7.0</v>
      </c>
      <c r="D133" s="166">
        <v>1.0</v>
      </c>
      <c r="E133" s="167">
        <v>1.0</v>
      </c>
      <c r="F133" s="167">
        <v>1.0</v>
      </c>
      <c r="G133" s="167">
        <v>1.0</v>
      </c>
      <c r="H133" s="167">
        <v>1.0</v>
      </c>
      <c r="I133" s="168">
        <v>1.0</v>
      </c>
      <c r="J133" s="167">
        <v>1.0</v>
      </c>
      <c r="K133" s="167">
        <v>1.0</v>
      </c>
      <c r="L133" s="167">
        <v>1.0</v>
      </c>
      <c r="M133" s="167">
        <v>1.0</v>
      </c>
      <c r="N133" s="167">
        <v>1.0</v>
      </c>
      <c r="O133" s="169">
        <v>1.0</v>
      </c>
      <c r="P133" s="166">
        <v>1.0</v>
      </c>
      <c r="Q133" s="167">
        <v>1.0</v>
      </c>
      <c r="R133" s="167">
        <v>1.0</v>
      </c>
      <c r="S133" s="167">
        <v>1.0</v>
      </c>
      <c r="T133" s="168">
        <v>1.0</v>
      </c>
      <c r="U133" s="170">
        <f t="shared" si="28"/>
        <v>1</v>
      </c>
      <c r="V133" s="170">
        <f t="shared" si="29"/>
        <v>1</v>
      </c>
    </row>
    <row r="134">
      <c r="A134" s="163">
        <v>1142110.0</v>
      </c>
      <c r="B134" s="164" t="s">
        <v>340</v>
      </c>
      <c r="C134" s="165">
        <v>7.0</v>
      </c>
      <c r="D134" s="166">
        <v>1.0</v>
      </c>
      <c r="E134" s="167">
        <v>1.0</v>
      </c>
      <c r="F134" s="167">
        <v>1.0</v>
      </c>
      <c r="G134" s="167">
        <v>1.0</v>
      </c>
      <c r="H134" s="167">
        <v>1.0</v>
      </c>
      <c r="I134" s="168">
        <v>1.0</v>
      </c>
      <c r="J134" s="167">
        <v>1.0</v>
      </c>
      <c r="K134" s="167">
        <v>1.0</v>
      </c>
      <c r="L134" s="167">
        <v>1.0</v>
      </c>
      <c r="M134" s="167">
        <v>1.0</v>
      </c>
      <c r="N134" s="167">
        <v>1.0</v>
      </c>
      <c r="O134" s="169">
        <v>1.0</v>
      </c>
      <c r="P134" s="166">
        <v>1.0</v>
      </c>
      <c r="Q134" s="167">
        <v>1.0</v>
      </c>
      <c r="R134" s="167">
        <v>1.0</v>
      </c>
      <c r="S134" s="167">
        <v>1.0</v>
      </c>
      <c r="T134" s="168">
        <v>1.0</v>
      </c>
      <c r="U134" s="170">
        <f t="shared" si="28"/>
        <v>1</v>
      </c>
      <c r="V134" s="170">
        <f t="shared" si="29"/>
        <v>1</v>
      </c>
    </row>
    <row r="135">
      <c r="A135" s="163">
        <v>1142111.0</v>
      </c>
      <c r="B135" s="164" t="s">
        <v>342</v>
      </c>
      <c r="C135" s="165">
        <v>7.0</v>
      </c>
      <c r="D135" s="166">
        <v>1.0</v>
      </c>
      <c r="E135" s="167">
        <v>1.0</v>
      </c>
      <c r="F135" s="167">
        <v>1.0</v>
      </c>
      <c r="G135" s="167">
        <v>1.0</v>
      </c>
      <c r="H135" s="167">
        <v>1.0</v>
      </c>
      <c r="I135" s="168">
        <v>1.0</v>
      </c>
      <c r="J135" s="167">
        <v>1.0</v>
      </c>
      <c r="K135" s="167">
        <v>1.0</v>
      </c>
      <c r="L135" s="178"/>
      <c r="M135" s="167">
        <v>1.0</v>
      </c>
      <c r="N135" s="167">
        <v>1.0</v>
      </c>
      <c r="O135" s="169">
        <v>1.0</v>
      </c>
      <c r="P135" s="166">
        <v>1.0</v>
      </c>
      <c r="Q135" s="167">
        <v>1.0</v>
      </c>
      <c r="R135" s="167">
        <v>1.0</v>
      </c>
      <c r="S135" s="167">
        <v>1.0</v>
      </c>
      <c r="T135" s="168">
        <v>1.0</v>
      </c>
      <c r="U135" s="170">
        <f t="shared" si="28"/>
        <v>1</v>
      </c>
      <c r="V135" s="170">
        <f t="shared" si="29"/>
        <v>1</v>
      </c>
    </row>
    <row r="136">
      <c r="A136" s="163">
        <v>1142112.0</v>
      </c>
      <c r="B136" s="164" t="s">
        <v>344</v>
      </c>
      <c r="C136" s="165">
        <v>7.0</v>
      </c>
      <c r="D136" s="166">
        <v>1.0</v>
      </c>
      <c r="E136" s="167">
        <v>1.0</v>
      </c>
      <c r="F136" s="167">
        <v>1.0</v>
      </c>
      <c r="G136" s="167">
        <v>1.0</v>
      </c>
      <c r="H136" s="167">
        <v>1.0</v>
      </c>
      <c r="I136" s="168">
        <v>1.0</v>
      </c>
      <c r="J136" s="167">
        <v>1.0</v>
      </c>
      <c r="K136" s="167">
        <v>1.0</v>
      </c>
      <c r="L136" s="167">
        <v>1.0</v>
      </c>
      <c r="M136" s="167">
        <v>1.0</v>
      </c>
      <c r="N136" s="167">
        <v>1.0</v>
      </c>
      <c r="O136" s="169">
        <v>1.0</v>
      </c>
      <c r="P136" s="166">
        <v>1.0</v>
      </c>
      <c r="Q136" s="167">
        <v>1.0</v>
      </c>
      <c r="R136" s="167">
        <v>1.0</v>
      </c>
      <c r="S136" s="167">
        <v>1.0</v>
      </c>
      <c r="T136" s="168">
        <v>1.0</v>
      </c>
      <c r="U136" s="170">
        <f t="shared" si="28"/>
        <v>1</v>
      </c>
      <c r="V136" s="170">
        <f t="shared" si="29"/>
        <v>1</v>
      </c>
    </row>
    <row r="137">
      <c r="A137" s="163">
        <v>1142113.0</v>
      </c>
      <c r="B137" s="164" t="s">
        <v>346</v>
      </c>
      <c r="C137" s="165">
        <v>7.0</v>
      </c>
      <c r="D137" s="166">
        <v>1.0</v>
      </c>
      <c r="E137" s="167">
        <v>1.0</v>
      </c>
      <c r="F137" s="167">
        <v>1.0</v>
      </c>
      <c r="G137" s="167">
        <v>1.0</v>
      </c>
      <c r="H137" s="167">
        <v>1.0</v>
      </c>
      <c r="I137" s="168">
        <v>1.0</v>
      </c>
      <c r="J137" s="167">
        <v>1.0</v>
      </c>
      <c r="K137" s="167">
        <v>1.0</v>
      </c>
      <c r="L137" s="178"/>
      <c r="M137" s="178"/>
      <c r="N137" s="178"/>
      <c r="O137" s="169">
        <v>1.0</v>
      </c>
      <c r="P137" s="166">
        <v>1.0</v>
      </c>
      <c r="Q137" s="178"/>
      <c r="R137" s="167">
        <v>1.0</v>
      </c>
      <c r="S137" s="167">
        <v>1.0</v>
      </c>
      <c r="T137" s="168">
        <v>1.0</v>
      </c>
      <c r="U137" s="170">
        <f t="shared" si="28"/>
        <v>1</v>
      </c>
      <c r="V137" s="170">
        <f t="shared" si="29"/>
        <v>1</v>
      </c>
    </row>
    <row r="138">
      <c r="A138" s="163">
        <v>1142114.0</v>
      </c>
      <c r="B138" s="164" t="s">
        <v>348</v>
      </c>
      <c r="C138" s="165">
        <v>7.0</v>
      </c>
      <c r="D138" s="166">
        <v>1.0</v>
      </c>
      <c r="E138" s="167">
        <v>1.0</v>
      </c>
      <c r="F138" s="167">
        <v>1.0</v>
      </c>
      <c r="G138" s="167">
        <v>1.0</v>
      </c>
      <c r="H138" s="167">
        <v>1.0</v>
      </c>
      <c r="I138" s="168">
        <v>1.0</v>
      </c>
      <c r="J138" s="167">
        <v>1.0</v>
      </c>
      <c r="K138" s="167">
        <v>1.0</v>
      </c>
      <c r="L138" s="167">
        <v>1.0</v>
      </c>
      <c r="M138" s="167">
        <v>1.0</v>
      </c>
      <c r="N138" s="167">
        <v>1.0</v>
      </c>
      <c r="O138" s="169">
        <v>1.0</v>
      </c>
      <c r="P138" s="166">
        <v>1.0</v>
      </c>
      <c r="Q138" s="167">
        <v>1.0</v>
      </c>
      <c r="R138" s="167">
        <v>1.0</v>
      </c>
      <c r="S138" s="167">
        <v>1.0</v>
      </c>
      <c r="T138" s="168">
        <v>1.0</v>
      </c>
      <c r="U138" s="170">
        <f t="shared" si="28"/>
        <v>1</v>
      </c>
      <c r="V138" s="170">
        <f t="shared" si="29"/>
        <v>1</v>
      </c>
    </row>
    <row r="139">
      <c r="A139" s="163">
        <v>1142115.0</v>
      </c>
      <c r="B139" s="164" t="s">
        <v>350</v>
      </c>
      <c r="C139" s="165">
        <v>7.0</v>
      </c>
      <c r="D139" s="166">
        <v>1.0</v>
      </c>
      <c r="E139" s="167">
        <v>1.0</v>
      </c>
      <c r="F139" s="167">
        <v>1.0</v>
      </c>
      <c r="G139" s="167">
        <v>1.0</v>
      </c>
      <c r="H139" s="167">
        <v>1.0</v>
      </c>
      <c r="I139" s="168">
        <v>1.0</v>
      </c>
      <c r="J139" s="178"/>
      <c r="K139" s="167">
        <v>1.0</v>
      </c>
      <c r="L139" s="167">
        <v>1.0</v>
      </c>
      <c r="M139" s="167">
        <v>1.0</v>
      </c>
      <c r="N139" s="167">
        <v>1.0</v>
      </c>
      <c r="O139" s="169">
        <v>1.0</v>
      </c>
      <c r="P139" s="166">
        <v>1.0</v>
      </c>
      <c r="Q139" s="167">
        <v>1.0</v>
      </c>
      <c r="R139" s="167">
        <v>1.0</v>
      </c>
      <c r="S139" s="167">
        <v>1.0</v>
      </c>
      <c r="T139" s="168">
        <v>1.0</v>
      </c>
      <c r="U139" s="170">
        <f t="shared" si="28"/>
        <v>1</v>
      </c>
      <c r="V139" s="170">
        <f t="shared" si="29"/>
        <v>1</v>
      </c>
    </row>
    <row r="140">
      <c r="A140" s="163">
        <v>1142116.0</v>
      </c>
      <c r="B140" s="164" t="s">
        <v>352</v>
      </c>
      <c r="C140" s="165">
        <v>7.0</v>
      </c>
      <c r="D140" s="166">
        <v>1.0</v>
      </c>
      <c r="E140" s="167">
        <v>1.0</v>
      </c>
      <c r="F140" s="167">
        <v>1.0</v>
      </c>
      <c r="G140" s="167">
        <v>1.0</v>
      </c>
      <c r="H140" s="167">
        <v>1.0</v>
      </c>
      <c r="I140" s="168">
        <v>1.0</v>
      </c>
      <c r="J140" s="167">
        <v>1.0</v>
      </c>
      <c r="K140" s="167">
        <v>1.0</v>
      </c>
      <c r="L140" s="167">
        <v>1.0</v>
      </c>
      <c r="M140" s="167">
        <v>1.0</v>
      </c>
      <c r="N140" s="167">
        <v>1.0</v>
      </c>
      <c r="O140" s="169">
        <v>1.0</v>
      </c>
      <c r="P140" s="166">
        <v>1.0</v>
      </c>
      <c r="Q140" s="167">
        <v>1.0</v>
      </c>
      <c r="R140" s="167">
        <v>1.0</v>
      </c>
      <c r="S140" s="167">
        <v>1.0</v>
      </c>
      <c r="T140" s="168">
        <v>1.0</v>
      </c>
      <c r="U140" s="170">
        <f t="shared" si="28"/>
        <v>1</v>
      </c>
      <c r="V140" s="170">
        <f t="shared" si="29"/>
        <v>1</v>
      </c>
    </row>
    <row r="141">
      <c r="A141" s="163">
        <v>1142117.0</v>
      </c>
      <c r="B141" s="164" t="s">
        <v>354</v>
      </c>
      <c r="C141" s="165">
        <v>7.0</v>
      </c>
      <c r="D141" s="166">
        <v>1.0</v>
      </c>
      <c r="E141" s="167">
        <v>1.0</v>
      </c>
      <c r="F141" s="167">
        <v>1.0</v>
      </c>
      <c r="G141" s="167">
        <v>1.0</v>
      </c>
      <c r="H141" s="167">
        <v>1.0</v>
      </c>
      <c r="I141" s="168">
        <v>1.0</v>
      </c>
      <c r="J141" s="167">
        <v>1.0</v>
      </c>
      <c r="K141" s="167">
        <v>1.0</v>
      </c>
      <c r="L141" s="167">
        <v>1.0</v>
      </c>
      <c r="M141" s="167">
        <v>1.0</v>
      </c>
      <c r="N141" s="167">
        <v>1.0</v>
      </c>
      <c r="O141" s="169">
        <v>1.0</v>
      </c>
      <c r="P141" s="166">
        <v>1.0</v>
      </c>
      <c r="Q141" s="167">
        <v>1.0</v>
      </c>
      <c r="R141" s="167">
        <v>1.0</v>
      </c>
      <c r="S141" s="167">
        <v>1.0</v>
      </c>
      <c r="T141" s="168">
        <v>1.0</v>
      </c>
      <c r="U141" s="170">
        <f t="shared" si="28"/>
        <v>1</v>
      </c>
      <c r="V141" s="170">
        <f t="shared" si="29"/>
        <v>1</v>
      </c>
    </row>
    <row r="142">
      <c r="A142" s="163">
        <v>1142119.0</v>
      </c>
      <c r="B142" s="164" t="s">
        <v>358</v>
      </c>
      <c r="C142" s="165">
        <v>7.0</v>
      </c>
      <c r="D142" s="166">
        <v>1.0</v>
      </c>
      <c r="E142" s="167">
        <v>1.0</v>
      </c>
      <c r="F142" s="167">
        <v>1.0</v>
      </c>
      <c r="G142" s="167">
        <v>1.0</v>
      </c>
      <c r="H142" s="167">
        <v>1.0</v>
      </c>
      <c r="I142" s="168">
        <v>1.0</v>
      </c>
      <c r="J142" s="167">
        <v>1.0</v>
      </c>
      <c r="K142" s="167">
        <v>1.0</v>
      </c>
      <c r="L142" s="167">
        <v>1.0</v>
      </c>
      <c r="M142" s="167">
        <v>1.0</v>
      </c>
      <c r="N142" s="167">
        <v>1.0</v>
      </c>
      <c r="O142" s="169">
        <v>1.0</v>
      </c>
      <c r="P142" s="166">
        <v>1.0</v>
      </c>
      <c r="Q142" s="167">
        <v>1.0</v>
      </c>
      <c r="R142" s="167">
        <v>1.0</v>
      </c>
      <c r="S142" s="167">
        <v>1.0</v>
      </c>
      <c r="T142" s="168">
        <v>1.0</v>
      </c>
      <c r="U142" s="170">
        <f t="shared" si="28"/>
        <v>1</v>
      </c>
      <c r="V142" s="170">
        <f t="shared" si="29"/>
        <v>1</v>
      </c>
    </row>
    <row r="143">
      <c r="A143" s="163">
        <v>1142120.0</v>
      </c>
      <c r="B143" s="164" t="s">
        <v>360</v>
      </c>
      <c r="C143" s="165">
        <v>7.0</v>
      </c>
      <c r="D143" s="166">
        <v>1.0</v>
      </c>
      <c r="E143" s="167">
        <v>1.0</v>
      </c>
      <c r="F143" s="167">
        <v>1.0</v>
      </c>
      <c r="G143" s="167">
        <v>1.0</v>
      </c>
      <c r="H143" s="167">
        <v>1.0</v>
      </c>
      <c r="I143" s="168">
        <v>1.0</v>
      </c>
      <c r="J143" s="167">
        <v>1.0</v>
      </c>
      <c r="K143" s="167">
        <v>1.0</v>
      </c>
      <c r="L143" s="167">
        <v>1.0</v>
      </c>
      <c r="M143" s="167">
        <v>1.0</v>
      </c>
      <c r="N143" s="167">
        <v>1.0</v>
      </c>
      <c r="O143" s="169">
        <v>1.0</v>
      </c>
      <c r="P143" s="166">
        <v>1.0</v>
      </c>
      <c r="Q143" s="167">
        <v>1.0</v>
      </c>
      <c r="R143" s="167">
        <v>1.0</v>
      </c>
      <c r="S143" s="167">
        <v>1.0</v>
      </c>
      <c r="T143" s="168">
        <v>1.0</v>
      </c>
      <c r="U143" s="170">
        <f t="shared" si="28"/>
        <v>1</v>
      </c>
      <c r="V143" s="170">
        <f t="shared" si="29"/>
        <v>1</v>
      </c>
    </row>
    <row r="144">
      <c r="A144" s="163">
        <v>1142121.0</v>
      </c>
      <c r="B144" s="164" t="s">
        <v>362</v>
      </c>
      <c r="C144" s="165">
        <v>7.0</v>
      </c>
      <c r="D144" s="166">
        <v>1.0</v>
      </c>
      <c r="E144" s="167">
        <v>1.0</v>
      </c>
      <c r="F144" s="167">
        <v>1.0</v>
      </c>
      <c r="G144" s="167">
        <v>1.0</v>
      </c>
      <c r="H144" s="167">
        <v>1.0</v>
      </c>
      <c r="I144" s="168">
        <v>1.0</v>
      </c>
      <c r="J144" s="167">
        <v>1.0</v>
      </c>
      <c r="K144" s="167">
        <v>1.0</v>
      </c>
      <c r="L144" s="167">
        <v>1.0</v>
      </c>
      <c r="M144" s="167">
        <v>1.0</v>
      </c>
      <c r="N144" s="167">
        <v>1.0</v>
      </c>
      <c r="O144" s="169">
        <v>1.0</v>
      </c>
      <c r="P144" s="166">
        <v>1.0</v>
      </c>
      <c r="Q144" s="167">
        <v>1.0</v>
      </c>
      <c r="R144" s="167">
        <v>1.0</v>
      </c>
      <c r="S144" s="167">
        <v>1.0</v>
      </c>
      <c r="T144" s="168">
        <v>1.0</v>
      </c>
      <c r="U144" s="170">
        <f t="shared" si="28"/>
        <v>1</v>
      </c>
      <c r="V144" s="170">
        <f t="shared" si="29"/>
        <v>1</v>
      </c>
    </row>
    <row r="145">
      <c r="A145" s="163">
        <v>1142124.0</v>
      </c>
      <c r="B145" s="164" t="s">
        <v>1763</v>
      </c>
      <c r="C145" s="165">
        <v>7.0</v>
      </c>
      <c r="D145" s="166">
        <v>1.0</v>
      </c>
      <c r="E145" s="167">
        <v>1.0</v>
      </c>
      <c r="F145" s="167">
        <v>1.0</v>
      </c>
      <c r="G145" s="167">
        <v>1.0</v>
      </c>
      <c r="H145" s="167">
        <v>1.0</v>
      </c>
      <c r="I145" s="168">
        <v>1.0</v>
      </c>
      <c r="J145" s="167">
        <v>1.0</v>
      </c>
      <c r="K145" s="167">
        <v>1.0</v>
      </c>
      <c r="L145" s="167">
        <v>1.0</v>
      </c>
      <c r="M145" s="167">
        <v>1.0</v>
      </c>
      <c r="N145" s="167">
        <v>1.0</v>
      </c>
      <c r="O145" s="169">
        <v>1.0</v>
      </c>
      <c r="P145" s="166">
        <v>1.0</v>
      </c>
      <c r="Q145" s="167">
        <v>1.0</v>
      </c>
      <c r="R145" s="167">
        <v>1.0</v>
      </c>
      <c r="S145" s="167">
        <v>1.0</v>
      </c>
      <c r="T145" s="168">
        <v>1.0</v>
      </c>
      <c r="U145" s="170">
        <f t="shared" si="28"/>
        <v>1</v>
      </c>
      <c r="V145" s="170">
        <f t="shared" si="29"/>
        <v>1</v>
      </c>
    </row>
    <row r="146">
      <c r="A146" s="171">
        <v>1142200.0</v>
      </c>
      <c r="B146" s="172" t="s">
        <v>1764</v>
      </c>
      <c r="C146" s="173">
        <v>5.0</v>
      </c>
      <c r="D146" s="174"/>
      <c r="E146" s="175"/>
      <c r="F146" s="175"/>
      <c r="G146" s="175"/>
      <c r="H146" s="175"/>
      <c r="I146" s="176"/>
      <c r="J146" s="175"/>
      <c r="K146" s="175"/>
      <c r="L146" s="175"/>
      <c r="M146" s="175"/>
      <c r="N146" s="175"/>
      <c r="O146" s="177"/>
      <c r="P146" s="174"/>
      <c r="Q146" s="175"/>
      <c r="R146" s="175"/>
      <c r="S146" s="175"/>
      <c r="T146" s="176"/>
    </row>
    <row r="147">
      <c r="A147" s="163">
        <v>1142202.0</v>
      </c>
      <c r="B147" s="164" t="s">
        <v>372</v>
      </c>
      <c r="C147" s="165">
        <v>7.0</v>
      </c>
      <c r="D147" s="166">
        <v>1.0</v>
      </c>
      <c r="E147" s="167">
        <v>1.0</v>
      </c>
      <c r="F147" s="167">
        <v>1.0</v>
      </c>
      <c r="G147" s="167">
        <v>1.0</v>
      </c>
      <c r="H147" s="167">
        <v>1.0</v>
      </c>
      <c r="I147" s="168">
        <v>1.0</v>
      </c>
      <c r="J147" s="167">
        <v>1.0</v>
      </c>
      <c r="K147" s="167">
        <v>1.0</v>
      </c>
      <c r="L147" s="167">
        <v>1.0</v>
      </c>
      <c r="M147" s="167">
        <v>1.0</v>
      </c>
      <c r="N147" s="167">
        <v>1.0</v>
      </c>
      <c r="O147" s="169">
        <v>1.0</v>
      </c>
      <c r="P147" s="166">
        <v>1.0</v>
      </c>
      <c r="Q147" s="167">
        <v>1.0</v>
      </c>
      <c r="R147" s="167">
        <v>1.0</v>
      </c>
      <c r="S147" s="167">
        <v>1.0</v>
      </c>
      <c r="T147" s="168">
        <v>1.0</v>
      </c>
      <c r="U147" s="170">
        <f t="shared" ref="U147:U148" si="30">if(I147+O147&gt;0,1,"")</f>
        <v>1</v>
      </c>
      <c r="V147" s="170">
        <f t="shared" ref="V147:V148" si="31">if(T147&gt;0,1,"")</f>
        <v>1</v>
      </c>
    </row>
    <row r="148">
      <c r="A148" s="163">
        <v>1142204.0</v>
      </c>
      <c r="B148" s="164" t="s">
        <v>312</v>
      </c>
      <c r="C148" s="165">
        <v>7.0</v>
      </c>
      <c r="D148" s="166">
        <v>1.0</v>
      </c>
      <c r="E148" s="167">
        <v>1.0</v>
      </c>
      <c r="F148" s="167">
        <v>1.0</v>
      </c>
      <c r="G148" s="167">
        <v>1.0</v>
      </c>
      <c r="H148" s="167">
        <v>1.0</v>
      </c>
      <c r="I148" s="168">
        <v>1.0</v>
      </c>
      <c r="J148" s="167">
        <v>1.0</v>
      </c>
      <c r="K148" s="167">
        <v>1.0</v>
      </c>
      <c r="L148" s="167">
        <v>1.0</v>
      </c>
      <c r="M148" s="167">
        <v>1.0</v>
      </c>
      <c r="N148" s="167">
        <v>1.0</v>
      </c>
      <c r="O148" s="169">
        <v>1.0</v>
      </c>
      <c r="P148" s="166">
        <v>1.0</v>
      </c>
      <c r="Q148" s="167">
        <v>1.0</v>
      </c>
      <c r="R148" s="167">
        <v>1.0</v>
      </c>
      <c r="S148" s="167">
        <v>1.0</v>
      </c>
      <c r="T148" s="168">
        <v>1.0</v>
      </c>
      <c r="U148" s="170">
        <f t="shared" si="30"/>
        <v>1</v>
      </c>
      <c r="V148" s="170">
        <f t="shared" si="31"/>
        <v>1</v>
      </c>
    </row>
    <row r="149">
      <c r="A149" s="149">
        <v>1150000.0</v>
      </c>
      <c r="B149" s="150" t="s">
        <v>1765</v>
      </c>
      <c r="C149" s="151">
        <v>3.0</v>
      </c>
      <c r="D149" s="152"/>
      <c r="E149" s="153"/>
      <c r="F149" s="153"/>
      <c r="G149" s="153"/>
      <c r="H149" s="153"/>
      <c r="I149" s="154"/>
      <c r="J149" s="153"/>
      <c r="K149" s="153"/>
      <c r="L149" s="153"/>
      <c r="M149" s="153"/>
      <c r="N149" s="153"/>
      <c r="O149" s="155"/>
      <c r="P149" s="152"/>
      <c r="Q149" s="153"/>
      <c r="R149" s="153"/>
      <c r="S149" s="153"/>
      <c r="T149" s="154"/>
    </row>
    <row r="150">
      <c r="A150" s="156">
        <v>1152000.0</v>
      </c>
      <c r="B150" s="157" t="s">
        <v>1766</v>
      </c>
      <c r="C150" s="158">
        <v>4.0</v>
      </c>
      <c r="D150" s="159"/>
      <c r="E150" s="160"/>
      <c r="F150" s="160"/>
      <c r="G150" s="160"/>
      <c r="H150" s="160"/>
      <c r="I150" s="161"/>
      <c r="J150" s="160"/>
      <c r="K150" s="160"/>
      <c r="L150" s="160"/>
      <c r="M150" s="160"/>
      <c r="N150" s="160"/>
      <c r="O150" s="162"/>
      <c r="P150" s="159"/>
      <c r="Q150" s="160"/>
      <c r="R150" s="160"/>
      <c r="S150" s="160"/>
      <c r="T150" s="161"/>
    </row>
    <row r="151">
      <c r="A151" s="171">
        <v>1152100.0</v>
      </c>
      <c r="B151" s="172" t="s">
        <v>1767</v>
      </c>
      <c r="C151" s="173">
        <v>5.0</v>
      </c>
      <c r="D151" s="174"/>
      <c r="E151" s="175"/>
      <c r="F151" s="175"/>
      <c r="G151" s="175"/>
      <c r="H151" s="175"/>
      <c r="I151" s="176"/>
      <c r="J151" s="175"/>
      <c r="K151" s="175"/>
      <c r="L151" s="175"/>
      <c r="M151" s="175"/>
      <c r="N151" s="175"/>
      <c r="O151" s="177"/>
      <c r="P151" s="174"/>
      <c r="Q151" s="175"/>
      <c r="R151" s="175"/>
      <c r="S151" s="175"/>
      <c r="T151" s="176"/>
    </row>
    <row r="152">
      <c r="A152" s="163">
        <v>1152101.0</v>
      </c>
      <c r="B152" s="164" t="s">
        <v>393</v>
      </c>
      <c r="C152" s="165">
        <v>7.0</v>
      </c>
      <c r="D152" s="166">
        <v>1.0</v>
      </c>
      <c r="E152" s="167">
        <v>1.0</v>
      </c>
      <c r="F152" s="167">
        <v>1.0</v>
      </c>
      <c r="G152" s="167">
        <v>1.0</v>
      </c>
      <c r="H152" s="167">
        <v>1.0</v>
      </c>
      <c r="I152" s="168">
        <v>1.0</v>
      </c>
      <c r="J152" s="167">
        <v>1.0</v>
      </c>
      <c r="K152" s="167">
        <v>1.0</v>
      </c>
      <c r="L152" s="167">
        <v>1.0</v>
      </c>
      <c r="M152" s="167">
        <v>1.0</v>
      </c>
      <c r="N152" s="167">
        <v>1.0</v>
      </c>
      <c r="O152" s="169">
        <v>1.0</v>
      </c>
      <c r="P152" s="166">
        <v>1.0</v>
      </c>
      <c r="Q152" s="167">
        <v>1.0</v>
      </c>
      <c r="R152" s="167">
        <v>1.0</v>
      </c>
      <c r="S152" s="167">
        <v>1.0</v>
      </c>
      <c r="T152" s="168">
        <v>1.0</v>
      </c>
      <c r="U152" s="170">
        <f t="shared" ref="U152:U154" si="32">if(I152+O152&gt;0,1,"")</f>
        <v>1</v>
      </c>
      <c r="V152" s="170">
        <f t="shared" ref="V152:V154" si="33">if(T152&gt;0,1,"")</f>
        <v>1</v>
      </c>
    </row>
    <row r="153">
      <c r="A153" s="163">
        <v>1152104.0</v>
      </c>
      <c r="B153" s="164" t="s">
        <v>400</v>
      </c>
      <c r="C153" s="165">
        <v>7.0</v>
      </c>
      <c r="D153" s="166">
        <v>1.0</v>
      </c>
      <c r="E153" s="167">
        <v>1.0</v>
      </c>
      <c r="F153" s="167">
        <v>1.0</v>
      </c>
      <c r="G153" s="167">
        <v>1.0</v>
      </c>
      <c r="H153" s="167">
        <v>1.0</v>
      </c>
      <c r="I153" s="168">
        <v>1.0</v>
      </c>
      <c r="J153" s="167">
        <v>1.0</v>
      </c>
      <c r="K153" s="167">
        <v>1.0</v>
      </c>
      <c r="L153" s="167">
        <v>1.0</v>
      </c>
      <c r="M153" s="167">
        <v>1.0</v>
      </c>
      <c r="N153" s="167">
        <v>1.0</v>
      </c>
      <c r="O153" s="169">
        <v>1.0</v>
      </c>
      <c r="P153" s="166">
        <v>1.0</v>
      </c>
      <c r="Q153" s="167">
        <v>1.0</v>
      </c>
      <c r="R153" s="167">
        <v>1.0</v>
      </c>
      <c r="S153" s="167">
        <v>1.0</v>
      </c>
      <c r="T153" s="168">
        <v>1.0</v>
      </c>
      <c r="U153" s="170">
        <f t="shared" si="32"/>
        <v>1</v>
      </c>
      <c r="V153" s="170">
        <f t="shared" si="33"/>
        <v>1</v>
      </c>
    </row>
    <row r="154">
      <c r="A154" s="163">
        <v>1152105.0</v>
      </c>
      <c r="B154" s="164" t="s">
        <v>402</v>
      </c>
      <c r="C154" s="165">
        <v>7.0</v>
      </c>
      <c r="D154" s="166">
        <v>1.0</v>
      </c>
      <c r="E154" s="167">
        <v>1.0</v>
      </c>
      <c r="F154" s="178"/>
      <c r="G154" s="178"/>
      <c r="H154" s="167">
        <v>1.0</v>
      </c>
      <c r="I154" s="168">
        <v>1.0</v>
      </c>
      <c r="J154" s="167">
        <v>1.0</v>
      </c>
      <c r="K154" s="167">
        <v>1.0</v>
      </c>
      <c r="L154" s="178"/>
      <c r="M154" s="167">
        <v>1.0</v>
      </c>
      <c r="N154" s="167">
        <v>1.0</v>
      </c>
      <c r="O154" s="169">
        <v>1.0</v>
      </c>
      <c r="P154" s="166">
        <v>1.0</v>
      </c>
      <c r="Q154" s="178"/>
      <c r="R154" s="167">
        <v>1.0</v>
      </c>
      <c r="S154" s="167">
        <v>1.0</v>
      </c>
      <c r="T154" s="168">
        <v>1.0</v>
      </c>
      <c r="U154" s="170">
        <f t="shared" si="32"/>
        <v>1</v>
      </c>
      <c r="V154" s="170">
        <f t="shared" si="33"/>
        <v>1</v>
      </c>
    </row>
    <row r="155">
      <c r="A155" s="171">
        <v>1152200.0</v>
      </c>
      <c r="B155" s="172" t="s">
        <v>428</v>
      </c>
      <c r="C155" s="173">
        <v>5.0</v>
      </c>
      <c r="D155" s="174"/>
      <c r="E155" s="175"/>
      <c r="F155" s="175"/>
      <c r="G155" s="175"/>
      <c r="H155" s="175"/>
      <c r="I155" s="176"/>
      <c r="J155" s="175"/>
      <c r="K155" s="175"/>
      <c r="L155" s="175"/>
      <c r="M155" s="175"/>
      <c r="N155" s="175"/>
      <c r="O155" s="177"/>
      <c r="P155" s="174"/>
      <c r="Q155" s="175"/>
      <c r="R155" s="175"/>
      <c r="S155" s="175"/>
      <c r="T155" s="176"/>
    </row>
    <row r="156">
      <c r="A156" s="163">
        <v>1152201.0</v>
      </c>
      <c r="B156" s="164" t="s">
        <v>407</v>
      </c>
      <c r="C156" s="165">
        <v>7.0</v>
      </c>
      <c r="D156" s="166">
        <v>1.0</v>
      </c>
      <c r="E156" s="167">
        <v>1.0</v>
      </c>
      <c r="F156" s="167">
        <v>1.0</v>
      </c>
      <c r="G156" s="167">
        <v>1.0</v>
      </c>
      <c r="H156" s="167">
        <v>1.0</v>
      </c>
      <c r="I156" s="168">
        <v>1.0</v>
      </c>
      <c r="J156" s="167">
        <v>1.0</v>
      </c>
      <c r="K156" s="167">
        <v>1.0</v>
      </c>
      <c r="L156" s="167">
        <v>1.0</v>
      </c>
      <c r="M156" s="167">
        <v>1.0</v>
      </c>
      <c r="N156" s="167">
        <v>1.0</v>
      </c>
      <c r="O156" s="169">
        <v>1.0</v>
      </c>
      <c r="P156" s="166">
        <v>1.0</v>
      </c>
      <c r="Q156" s="167">
        <v>1.0</v>
      </c>
      <c r="R156" s="167">
        <v>1.0</v>
      </c>
      <c r="S156" s="167">
        <v>1.0</v>
      </c>
      <c r="T156" s="168">
        <v>1.0</v>
      </c>
      <c r="U156" s="170">
        <f t="shared" ref="U156:U167" si="34">if(I156+O156&gt;0,1,"")</f>
        <v>1</v>
      </c>
      <c r="V156" s="170">
        <f t="shared" ref="V156:V167" si="35">if(T156&gt;0,1,"")</f>
        <v>1</v>
      </c>
    </row>
    <row r="157">
      <c r="A157" s="163">
        <v>1152202.0</v>
      </c>
      <c r="B157" s="164" t="s">
        <v>409</v>
      </c>
      <c r="C157" s="165">
        <v>7.0</v>
      </c>
      <c r="D157" s="166">
        <v>1.0</v>
      </c>
      <c r="E157" s="167">
        <v>1.0</v>
      </c>
      <c r="F157" s="167">
        <v>1.0</v>
      </c>
      <c r="G157" s="167">
        <v>1.0</v>
      </c>
      <c r="H157" s="167">
        <v>1.0</v>
      </c>
      <c r="I157" s="168">
        <v>1.0</v>
      </c>
      <c r="J157" s="167">
        <v>1.0</v>
      </c>
      <c r="K157" s="167">
        <v>1.0</v>
      </c>
      <c r="L157" s="167">
        <v>1.0</v>
      </c>
      <c r="M157" s="167">
        <v>1.0</v>
      </c>
      <c r="N157" s="167">
        <v>1.0</v>
      </c>
      <c r="O157" s="169">
        <v>1.0</v>
      </c>
      <c r="P157" s="166">
        <v>1.0</v>
      </c>
      <c r="Q157" s="167">
        <v>1.0</v>
      </c>
      <c r="R157" s="167">
        <v>1.0</v>
      </c>
      <c r="S157" s="167">
        <v>1.0</v>
      </c>
      <c r="T157" s="168">
        <v>1.0</v>
      </c>
      <c r="U157" s="170">
        <f t="shared" si="34"/>
        <v>1</v>
      </c>
      <c r="V157" s="170">
        <f t="shared" si="35"/>
        <v>1</v>
      </c>
    </row>
    <row r="158">
      <c r="A158" s="163">
        <v>1152203.0</v>
      </c>
      <c r="B158" s="164" t="s">
        <v>412</v>
      </c>
      <c r="C158" s="165">
        <v>7.0</v>
      </c>
      <c r="D158" s="166">
        <v>1.0</v>
      </c>
      <c r="E158" s="167">
        <v>1.0</v>
      </c>
      <c r="F158" s="167">
        <v>1.0</v>
      </c>
      <c r="G158" s="167">
        <v>1.0</v>
      </c>
      <c r="H158" s="167">
        <v>1.0</v>
      </c>
      <c r="I158" s="168">
        <v>1.0</v>
      </c>
      <c r="J158" s="167">
        <v>1.0</v>
      </c>
      <c r="K158" s="167">
        <v>1.0</v>
      </c>
      <c r="L158" s="167">
        <v>1.0</v>
      </c>
      <c r="M158" s="167">
        <v>1.0</v>
      </c>
      <c r="N158" s="167">
        <v>1.0</v>
      </c>
      <c r="O158" s="169">
        <v>1.0</v>
      </c>
      <c r="P158" s="166">
        <v>1.0</v>
      </c>
      <c r="Q158" s="167">
        <v>1.0</v>
      </c>
      <c r="R158" s="167">
        <v>1.0</v>
      </c>
      <c r="S158" s="167">
        <v>1.0</v>
      </c>
      <c r="T158" s="168">
        <v>1.0</v>
      </c>
      <c r="U158" s="170">
        <f t="shared" si="34"/>
        <v>1</v>
      </c>
      <c r="V158" s="170">
        <f t="shared" si="35"/>
        <v>1</v>
      </c>
    </row>
    <row r="159">
      <c r="A159" s="163">
        <v>1152204.0</v>
      </c>
      <c r="B159" s="164" t="s">
        <v>414</v>
      </c>
      <c r="C159" s="165">
        <v>7.0</v>
      </c>
      <c r="D159" s="166">
        <v>1.0</v>
      </c>
      <c r="E159" s="167">
        <v>1.0</v>
      </c>
      <c r="F159" s="167">
        <v>1.0</v>
      </c>
      <c r="G159" s="167">
        <v>1.0</v>
      </c>
      <c r="H159" s="167">
        <v>1.0</v>
      </c>
      <c r="I159" s="168">
        <v>1.0</v>
      </c>
      <c r="J159" s="167">
        <v>1.0</v>
      </c>
      <c r="K159" s="167">
        <v>1.0</v>
      </c>
      <c r="L159" s="167">
        <v>1.0</v>
      </c>
      <c r="M159" s="167">
        <v>1.0</v>
      </c>
      <c r="N159" s="167">
        <v>1.0</v>
      </c>
      <c r="O159" s="169">
        <v>1.0</v>
      </c>
      <c r="P159" s="166">
        <v>1.0</v>
      </c>
      <c r="Q159" s="167">
        <v>1.0</v>
      </c>
      <c r="R159" s="167">
        <v>1.0</v>
      </c>
      <c r="S159" s="167">
        <v>1.0</v>
      </c>
      <c r="T159" s="168">
        <v>1.0</v>
      </c>
      <c r="U159" s="170">
        <f t="shared" si="34"/>
        <v>1</v>
      </c>
      <c r="V159" s="170">
        <f t="shared" si="35"/>
        <v>1</v>
      </c>
    </row>
    <row r="160">
      <c r="A160" s="163">
        <v>1152205.0</v>
      </c>
      <c r="B160" s="164" t="s">
        <v>416</v>
      </c>
      <c r="C160" s="165">
        <v>7.0</v>
      </c>
      <c r="D160" s="166">
        <v>1.0</v>
      </c>
      <c r="E160" s="178"/>
      <c r="F160" s="178"/>
      <c r="G160" s="178"/>
      <c r="H160" s="167">
        <v>1.0</v>
      </c>
      <c r="I160" s="168">
        <v>1.0</v>
      </c>
      <c r="J160" s="178"/>
      <c r="K160" s="178"/>
      <c r="L160" s="178"/>
      <c r="M160" s="178"/>
      <c r="N160" s="178"/>
      <c r="O160" s="179"/>
      <c r="P160" s="180"/>
      <c r="Q160" s="178"/>
      <c r="R160" s="178"/>
      <c r="S160" s="178"/>
      <c r="T160" s="181"/>
      <c r="U160" s="170">
        <f t="shared" si="34"/>
        <v>1</v>
      </c>
      <c r="V160" s="170" t="str">
        <f t="shared" si="35"/>
        <v/>
      </c>
    </row>
    <row r="161">
      <c r="A161" s="163">
        <v>1152206.0</v>
      </c>
      <c r="B161" s="164" t="s">
        <v>418</v>
      </c>
      <c r="C161" s="165">
        <v>7.0</v>
      </c>
      <c r="D161" s="166">
        <v>1.0</v>
      </c>
      <c r="E161" s="178"/>
      <c r="F161" s="178"/>
      <c r="G161" s="178"/>
      <c r="H161" s="167">
        <v>1.0</v>
      </c>
      <c r="I161" s="168">
        <v>1.0</v>
      </c>
      <c r="J161" s="167">
        <v>1.0</v>
      </c>
      <c r="K161" s="178"/>
      <c r="L161" s="167">
        <v>1.0</v>
      </c>
      <c r="M161" s="178"/>
      <c r="N161" s="167">
        <v>1.0</v>
      </c>
      <c r="O161" s="169">
        <v>1.0</v>
      </c>
      <c r="P161" s="180"/>
      <c r="Q161" s="178"/>
      <c r="R161" s="178"/>
      <c r="S161" s="178"/>
      <c r="T161" s="181"/>
      <c r="U161" s="170">
        <f t="shared" si="34"/>
        <v>1</v>
      </c>
      <c r="V161" s="170" t="str">
        <f t="shared" si="35"/>
        <v/>
      </c>
    </row>
    <row r="162">
      <c r="A162" s="163">
        <v>1152209.0</v>
      </c>
      <c r="B162" s="164" t="s">
        <v>424</v>
      </c>
      <c r="C162" s="165">
        <v>7.0</v>
      </c>
      <c r="D162" s="166">
        <v>1.0</v>
      </c>
      <c r="E162" s="167">
        <v>1.0</v>
      </c>
      <c r="F162" s="167">
        <v>1.0</v>
      </c>
      <c r="G162" s="178"/>
      <c r="H162" s="167">
        <v>1.0</v>
      </c>
      <c r="I162" s="168">
        <v>1.0</v>
      </c>
      <c r="J162" s="167">
        <v>1.0</v>
      </c>
      <c r="K162" s="167">
        <v>1.0</v>
      </c>
      <c r="L162" s="178"/>
      <c r="M162" s="167">
        <v>1.0</v>
      </c>
      <c r="N162" s="167">
        <v>1.0</v>
      </c>
      <c r="O162" s="169">
        <v>1.0</v>
      </c>
      <c r="P162" s="166">
        <v>1.0</v>
      </c>
      <c r="Q162" s="178"/>
      <c r="R162" s="167">
        <v>1.0</v>
      </c>
      <c r="S162" s="167">
        <v>1.0</v>
      </c>
      <c r="T162" s="168">
        <v>1.0</v>
      </c>
      <c r="U162" s="170">
        <f t="shared" si="34"/>
        <v>1</v>
      </c>
      <c r="V162" s="170">
        <f t="shared" si="35"/>
        <v>1</v>
      </c>
    </row>
    <row r="163">
      <c r="A163" s="163">
        <v>1152210.0</v>
      </c>
      <c r="B163" s="164" t="s">
        <v>426</v>
      </c>
      <c r="C163" s="165">
        <v>7.0</v>
      </c>
      <c r="D163" s="166">
        <v>1.0</v>
      </c>
      <c r="E163" s="167">
        <v>1.0</v>
      </c>
      <c r="F163" s="167">
        <v>1.0</v>
      </c>
      <c r="G163" s="167">
        <v>1.0</v>
      </c>
      <c r="H163" s="167">
        <v>1.0</v>
      </c>
      <c r="I163" s="168">
        <v>1.0</v>
      </c>
      <c r="J163" s="167">
        <v>1.0</v>
      </c>
      <c r="K163" s="167">
        <v>1.0</v>
      </c>
      <c r="L163" s="167">
        <v>1.0</v>
      </c>
      <c r="M163" s="167">
        <v>1.0</v>
      </c>
      <c r="N163" s="167">
        <v>1.0</v>
      </c>
      <c r="O163" s="169">
        <v>1.0</v>
      </c>
      <c r="P163" s="166">
        <v>1.0</v>
      </c>
      <c r="Q163" s="167">
        <v>1.0</v>
      </c>
      <c r="R163" s="167">
        <v>1.0</v>
      </c>
      <c r="S163" s="167">
        <v>1.0</v>
      </c>
      <c r="T163" s="168">
        <v>1.0</v>
      </c>
      <c r="U163" s="170">
        <f t="shared" si="34"/>
        <v>1</v>
      </c>
      <c r="V163" s="170">
        <f t="shared" si="35"/>
        <v>1</v>
      </c>
    </row>
    <row r="164">
      <c r="A164" s="163">
        <v>1152211.0</v>
      </c>
      <c r="B164" s="164" t="s">
        <v>428</v>
      </c>
      <c r="C164" s="165">
        <v>7.0</v>
      </c>
      <c r="D164" s="166">
        <v>1.0</v>
      </c>
      <c r="E164" s="167">
        <v>1.0</v>
      </c>
      <c r="F164" s="167">
        <v>1.0</v>
      </c>
      <c r="G164" s="167">
        <v>1.0</v>
      </c>
      <c r="H164" s="167">
        <v>1.0</v>
      </c>
      <c r="I164" s="168">
        <v>1.0</v>
      </c>
      <c r="J164" s="167">
        <v>1.0</v>
      </c>
      <c r="K164" s="167">
        <v>1.0</v>
      </c>
      <c r="L164" s="167">
        <v>1.0</v>
      </c>
      <c r="M164" s="167">
        <v>1.0</v>
      </c>
      <c r="N164" s="167">
        <v>1.0</v>
      </c>
      <c r="O164" s="169">
        <v>1.0</v>
      </c>
      <c r="P164" s="166">
        <v>1.0</v>
      </c>
      <c r="Q164" s="167">
        <v>1.0</v>
      </c>
      <c r="R164" s="167">
        <v>1.0</v>
      </c>
      <c r="S164" s="167">
        <v>1.0</v>
      </c>
      <c r="T164" s="168">
        <v>1.0</v>
      </c>
      <c r="U164" s="170">
        <f t="shared" si="34"/>
        <v>1</v>
      </c>
      <c r="V164" s="170">
        <f t="shared" si="35"/>
        <v>1</v>
      </c>
    </row>
    <row r="165">
      <c r="A165" s="163">
        <v>1152212.0</v>
      </c>
      <c r="B165" s="164" t="s">
        <v>430</v>
      </c>
      <c r="C165" s="165">
        <v>7.0</v>
      </c>
      <c r="D165" s="166">
        <v>1.0</v>
      </c>
      <c r="E165" s="167">
        <v>1.0</v>
      </c>
      <c r="F165" s="167">
        <v>1.0</v>
      </c>
      <c r="G165" s="167">
        <v>1.0</v>
      </c>
      <c r="H165" s="167">
        <v>1.0</v>
      </c>
      <c r="I165" s="168">
        <v>1.0</v>
      </c>
      <c r="J165" s="167">
        <v>1.0</v>
      </c>
      <c r="K165" s="167">
        <v>1.0</v>
      </c>
      <c r="L165" s="167">
        <v>1.0</v>
      </c>
      <c r="M165" s="167">
        <v>1.0</v>
      </c>
      <c r="N165" s="167">
        <v>1.0</v>
      </c>
      <c r="O165" s="169">
        <v>1.0</v>
      </c>
      <c r="P165" s="166">
        <v>1.0</v>
      </c>
      <c r="Q165" s="167">
        <v>1.0</v>
      </c>
      <c r="R165" s="167">
        <v>1.0</v>
      </c>
      <c r="S165" s="167">
        <v>1.0</v>
      </c>
      <c r="T165" s="168">
        <v>1.0</v>
      </c>
      <c r="U165" s="170">
        <f t="shared" si="34"/>
        <v>1</v>
      </c>
      <c r="V165" s="170">
        <f t="shared" si="35"/>
        <v>1</v>
      </c>
    </row>
    <row r="166">
      <c r="A166" s="163">
        <v>1152213.0</v>
      </c>
      <c r="B166" s="164" t="s">
        <v>432</v>
      </c>
      <c r="C166" s="165">
        <v>7.0</v>
      </c>
      <c r="D166" s="166">
        <v>1.0</v>
      </c>
      <c r="E166" s="167">
        <v>1.0</v>
      </c>
      <c r="F166" s="167">
        <v>1.0</v>
      </c>
      <c r="G166" s="167">
        <v>1.0</v>
      </c>
      <c r="H166" s="167">
        <v>1.0</v>
      </c>
      <c r="I166" s="168">
        <v>1.0</v>
      </c>
      <c r="J166" s="167">
        <v>1.0</v>
      </c>
      <c r="K166" s="167">
        <v>1.0</v>
      </c>
      <c r="L166" s="167">
        <v>1.0</v>
      </c>
      <c r="M166" s="167">
        <v>1.0</v>
      </c>
      <c r="N166" s="167">
        <v>1.0</v>
      </c>
      <c r="O166" s="169">
        <v>1.0</v>
      </c>
      <c r="P166" s="166">
        <v>1.0</v>
      </c>
      <c r="Q166" s="167">
        <v>1.0</v>
      </c>
      <c r="R166" s="167">
        <v>1.0</v>
      </c>
      <c r="S166" s="167">
        <v>1.0</v>
      </c>
      <c r="T166" s="168">
        <v>1.0</v>
      </c>
      <c r="U166" s="170">
        <f t="shared" si="34"/>
        <v>1</v>
      </c>
      <c r="V166" s="170">
        <f t="shared" si="35"/>
        <v>1</v>
      </c>
    </row>
    <row r="167">
      <c r="A167" s="163">
        <v>1152216.0</v>
      </c>
      <c r="B167" s="164" t="s">
        <v>439</v>
      </c>
      <c r="C167" s="165">
        <v>7.0</v>
      </c>
      <c r="D167" s="184"/>
      <c r="E167" s="178"/>
      <c r="F167" s="167">
        <v>1.0</v>
      </c>
      <c r="G167" s="167">
        <v>1.0</v>
      </c>
      <c r="H167" s="178"/>
      <c r="I167" s="168">
        <v>1.0</v>
      </c>
      <c r="J167" s="167">
        <v>1.0</v>
      </c>
      <c r="K167" s="167">
        <v>1.0</v>
      </c>
      <c r="L167" s="167">
        <v>1.0</v>
      </c>
      <c r="M167" s="167">
        <v>1.0</v>
      </c>
      <c r="N167" s="178"/>
      <c r="O167" s="169">
        <v>1.0</v>
      </c>
      <c r="P167" s="180"/>
      <c r="Q167" s="167">
        <v>1.0</v>
      </c>
      <c r="R167" s="167">
        <v>1.0</v>
      </c>
      <c r="S167" s="178"/>
      <c r="T167" s="168">
        <v>1.0</v>
      </c>
      <c r="U167" s="170">
        <f t="shared" si="34"/>
        <v>1</v>
      </c>
      <c r="V167" s="170">
        <f t="shared" si="35"/>
        <v>1</v>
      </c>
    </row>
    <row r="168">
      <c r="A168" s="149">
        <v>1160000.0</v>
      </c>
      <c r="B168" s="150" t="s">
        <v>1768</v>
      </c>
      <c r="C168" s="151">
        <v>3.0</v>
      </c>
      <c r="D168" s="152"/>
      <c r="E168" s="153"/>
      <c r="F168" s="153"/>
      <c r="G168" s="153"/>
      <c r="H168" s="153"/>
      <c r="I168" s="154"/>
      <c r="J168" s="153"/>
      <c r="K168" s="153"/>
      <c r="L168" s="153"/>
      <c r="M168" s="153"/>
      <c r="N168" s="153"/>
      <c r="O168" s="155"/>
      <c r="P168" s="152"/>
      <c r="Q168" s="153"/>
      <c r="R168" s="153"/>
      <c r="S168" s="153"/>
      <c r="T168" s="154"/>
    </row>
    <row r="169">
      <c r="A169" s="163">
        <v>1160001.0</v>
      </c>
      <c r="B169" s="164" t="s">
        <v>1769</v>
      </c>
      <c r="C169" s="165">
        <v>7.0</v>
      </c>
      <c r="D169" s="166">
        <v>1.0</v>
      </c>
      <c r="E169" s="167">
        <v>1.0</v>
      </c>
      <c r="F169" s="167">
        <v>1.0</v>
      </c>
      <c r="G169" s="167">
        <v>1.0</v>
      </c>
      <c r="H169" s="167">
        <v>1.0</v>
      </c>
      <c r="I169" s="168">
        <v>1.0</v>
      </c>
      <c r="J169" s="167">
        <v>1.0</v>
      </c>
      <c r="K169" s="167">
        <v>1.0</v>
      </c>
      <c r="L169" s="167">
        <v>1.0</v>
      </c>
      <c r="M169" s="167">
        <v>1.0</v>
      </c>
      <c r="N169" s="167">
        <v>1.0</v>
      </c>
      <c r="O169" s="169">
        <v>1.0</v>
      </c>
      <c r="P169" s="166">
        <v>1.0</v>
      </c>
      <c r="Q169" s="167">
        <v>1.0</v>
      </c>
      <c r="R169" s="167">
        <v>1.0</v>
      </c>
      <c r="S169" s="167">
        <v>1.0</v>
      </c>
      <c r="T169" s="168">
        <v>1.0</v>
      </c>
      <c r="U169" s="170">
        <f t="shared" ref="U169:U183" si="36">if(I169+O169&gt;0,1,"")</f>
        <v>1</v>
      </c>
      <c r="V169" s="170">
        <f t="shared" ref="V169:V183" si="37">if(T169&gt;0,1,"")</f>
        <v>1</v>
      </c>
    </row>
    <row r="170">
      <c r="A170" s="163">
        <v>1160002.0</v>
      </c>
      <c r="B170" s="164" t="s">
        <v>443</v>
      </c>
      <c r="C170" s="165">
        <v>7.0</v>
      </c>
      <c r="D170" s="166">
        <v>1.0</v>
      </c>
      <c r="E170" s="167">
        <v>1.0</v>
      </c>
      <c r="F170" s="167">
        <v>1.0</v>
      </c>
      <c r="G170" s="167">
        <v>1.0</v>
      </c>
      <c r="H170" s="167">
        <v>1.0</v>
      </c>
      <c r="I170" s="168">
        <v>1.0</v>
      </c>
      <c r="J170" s="167">
        <v>1.0</v>
      </c>
      <c r="K170" s="167">
        <v>1.0</v>
      </c>
      <c r="L170" s="167">
        <v>1.0</v>
      </c>
      <c r="M170" s="167">
        <v>1.0</v>
      </c>
      <c r="N170" s="167">
        <v>1.0</v>
      </c>
      <c r="O170" s="169">
        <v>1.0</v>
      </c>
      <c r="P170" s="166">
        <v>1.0</v>
      </c>
      <c r="Q170" s="167">
        <v>1.0</v>
      </c>
      <c r="R170" s="167">
        <v>1.0</v>
      </c>
      <c r="S170" s="167">
        <v>1.0</v>
      </c>
      <c r="T170" s="168">
        <v>1.0</v>
      </c>
      <c r="U170" s="170">
        <f t="shared" si="36"/>
        <v>1</v>
      </c>
      <c r="V170" s="170">
        <f t="shared" si="37"/>
        <v>1</v>
      </c>
    </row>
    <row r="171">
      <c r="A171" s="163">
        <v>1160005.0</v>
      </c>
      <c r="B171" s="164" t="s">
        <v>449</v>
      </c>
      <c r="C171" s="165">
        <v>7.0</v>
      </c>
      <c r="D171" s="166">
        <v>1.0</v>
      </c>
      <c r="E171" s="167">
        <v>1.0</v>
      </c>
      <c r="F171" s="167">
        <v>1.0</v>
      </c>
      <c r="G171" s="167">
        <v>1.0</v>
      </c>
      <c r="H171" s="167">
        <v>1.0</v>
      </c>
      <c r="I171" s="168">
        <v>1.0</v>
      </c>
      <c r="J171" s="167">
        <v>1.0</v>
      </c>
      <c r="K171" s="167">
        <v>1.0</v>
      </c>
      <c r="L171" s="167">
        <v>1.0</v>
      </c>
      <c r="M171" s="167">
        <v>1.0</v>
      </c>
      <c r="N171" s="167">
        <v>1.0</v>
      </c>
      <c r="O171" s="169">
        <v>1.0</v>
      </c>
      <c r="P171" s="166">
        <v>1.0</v>
      </c>
      <c r="Q171" s="167">
        <v>1.0</v>
      </c>
      <c r="R171" s="167">
        <v>1.0</v>
      </c>
      <c r="S171" s="167">
        <v>1.0</v>
      </c>
      <c r="T171" s="168">
        <v>1.0</v>
      </c>
      <c r="U171" s="170">
        <f t="shared" si="36"/>
        <v>1</v>
      </c>
      <c r="V171" s="170">
        <f t="shared" si="37"/>
        <v>1</v>
      </c>
    </row>
    <row r="172">
      <c r="A172" s="163">
        <v>1160006.0</v>
      </c>
      <c r="B172" s="164" t="s">
        <v>452</v>
      </c>
      <c r="C172" s="165">
        <v>7.0</v>
      </c>
      <c r="D172" s="166">
        <v>1.0</v>
      </c>
      <c r="E172" s="167">
        <v>1.0</v>
      </c>
      <c r="F172" s="167">
        <v>1.0</v>
      </c>
      <c r="G172" s="167">
        <v>1.0</v>
      </c>
      <c r="H172" s="167">
        <v>1.0</v>
      </c>
      <c r="I172" s="168">
        <v>1.0</v>
      </c>
      <c r="J172" s="167">
        <v>1.0</v>
      </c>
      <c r="K172" s="167">
        <v>1.0</v>
      </c>
      <c r="L172" s="178"/>
      <c r="M172" s="178"/>
      <c r="N172" s="167">
        <v>1.0</v>
      </c>
      <c r="O172" s="169">
        <v>1.0</v>
      </c>
      <c r="P172" s="166">
        <v>1.0</v>
      </c>
      <c r="Q172" s="167">
        <v>1.0</v>
      </c>
      <c r="R172" s="167">
        <v>1.0</v>
      </c>
      <c r="S172" s="167">
        <v>1.0</v>
      </c>
      <c r="T172" s="168">
        <v>1.0</v>
      </c>
      <c r="U172" s="170">
        <f t="shared" si="36"/>
        <v>1</v>
      </c>
      <c r="V172" s="170">
        <f t="shared" si="37"/>
        <v>1</v>
      </c>
    </row>
    <row r="173">
      <c r="A173" s="163">
        <v>1160007.0</v>
      </c>
      <c r="B173" s="164" t="s">
        <v>455</v>
      </c>
      <c r="C173" s="165">
        <v>7.0</v>
      </c>
      <c r="D173" s="166">
        <v>1.0</v>
      </c>
      <c r="E173" s="167">
        <v>1.0</v>
      </c>
      <c r="F173" s="167">
        <v>1.0</v>
      </c>
      <c r="G173" s="167">
        <v>1.0</v>
      </c>
      <c r="H173" s="167">
        <v>1.0</v>
      </c>
      <c r="I173" s="168">
        <v>1.0</v>
      </c>
      <c r="J173" s="167">
        <v>1.0</v>
      </c>
      <c r="K173" s="167">
        <v>1.0</v>
      </c>
      <c r="L173" s="167">
        <v>1.0</v>
      </c>
      <c r="M173" s="167">
        <v>1.0</v>
      </c>
      <c r="N173" s="167">
        <v>1.0</v>
      </c>
      <c r="O173" s="169">
        <v>1.0</v>
      </c>
      <c r="P173" s="166">
        <v>1.0</v>
      </c>
      <c r="Q173" s="167">
        <v>1.0</v>
      </c>
      <c r="R173" s="167">
        <v>1.0</v>
      </c>
      <c r="S173" s="167">
        <v>1.0</v>
      </c>
      <c r="T173" s="168">
        <v>1.0</v>
      </c>
      <c r="U173" s="170">
        <f t="shared" si="36"/>
        <v>1</v>
      </c>
      <c r="V173" s="170">
        <f t="shared" si="37"/>
        <v>1</v>
      </c>
    </row>
    <row r="174">
      <c r="A174" s="163">
        <v>1160008.0</v>
      </c>
      <c r="B174" s="164" t="s">
        <v>457</v>
      </c>
      <c r="C174" s="165">
        <v>7.0</v>
      </c>
      <c r="D174" s="166">
        <v>1.0</v>
      </c>
      <c r="E174" s="167">
        <v>1.0</v>
      </c>
      <c r="F174" s="167">
        <v>1.0</v>
      </c>
      <c r="G174" s="167">
        <v>1.0</v>
      </c>
      <c r="H174" s="167">
        <v>1.0</v>
      </c>
      <c r="I174" s="168">
        <v>1.0</v>
      </c>
      <c r="J174" s="167">
        <v>1.0</v>
      </c>
      <c r="K174" s="167">
        <v>1.0</v>
      </c>
      <c r="L174" s="167">
        <v>1.0</v>
      </c>
      <c r="M174" s="167">
        <v>1.0</v>
      </c>
      <c r="N174" s="167">
        <v>1.0</v>
      </c>
      <c r="O174" s="169">
        <v>1.0</v>
      </c>
      <c r="P174" s="166">
        <v>1.0</v>
      </c>
      <c r="Q174" s="167">
        <v>1.0</v>
      </c>
      <c r="R174" s="167">
        <v>1.0</v>
      </c>
      <c r="S174" s="167">
        <v>1.0</v>
      </c>
      <c r="T174" s="168">
        <v>1.0</v>
      </c>
      <c r="U174" s="170">
        <f t="shared" si="36"/>
        <v>1</v>
      </c>
      <c r="V174" s="170">
        <f t="shared" si="37"/>
        <v>1</v>
      </c>
    </row>
    <row r="175">
      <c r="A175" s="163">
        <v>1160009.0</v>
      </c>
      <c r="B175" s="164" t="s">
        <v>460</v>
      </c>
      <c r="C175" s="165">
        <v>7.0</v>
      </c>
      <c r="D175" s="166">
        <v>1.0</v>
      </c>
      <c r="E175" s="167">
        <v>1.0</v>
      </c>
      <c r="F175" s="167">
        <v>1.0</v>
      </c>
      <c r="G175" s="167">
        <v>1.0</v>
      </c>
      <c r="H175" s="167">
        <v>1.0</v>
      </c>
      <c r="I175" s="168">
        <v>1.0</v>
      </c>
      <c r="J175" s="167">
        <v>1.0</v>
      </c>
      <c r="K175" s="167">
        <v>1.0</v>
      </c>
      <c r="L175" s="167">
        <v>1.0</v>
      </c>
      <c r="M175" s="167">
        <v>1.0</v>
      </c>
      <c r="N175" s="167">
        <v>1.0</v>
      </c>
      <c r="O175" s="169">
        <v>1.0</v>
      </c>
      <c r="P175" s="166">
        <v>1.0</v>
      </c>
      <c r="Q175" s="167">
        <v>1.0</v>
      </c>
      <c r="R175" s="167">
        <v>1.0</v>
      </c>
      <c r="S175" s="167">
        <v>1.0</v>
      </c>
      <c r="T175" s="168">
        <v>1.0</v>
      </c>
      <c r="U175" s="170">
        <f t="shared" si="36"/>
        <v>1</v>
      </c>
      <c r="V175" s="170">
        <f t="shared" si="37"/>
        <v>1</v>
      </c>
    </row>
    <row r="176">
      <c r="A176" s="163">
        <v>1160010.0</v>
      </c>
      <c r="B176" s="164" t="s">
        <v>462</v>
      </c>
      <c r="C176" s="165">
        <v>7.0</v>
      </c>
      <c r="D176" s="166">
        <v>1.0</v>
      </c>
      <c r="E176" s="167">
        <v>1.0</v>
      </c>
      <c r="F176" s="167">
        <v>1.0</v>
      </c>
      <c r="G176" s="167">
        <v>1.0</v>
      </c>
      <c r="H176" s="167">
        <v>1.0</v>
      </c>
      <c r="I176" s="168">
        <v>1.0</v>
      </c>
      <c r="J176" s="167">
        <v>1.0</v>
      </c>
      <c r="K176" s="167">
        <v>1.0</v>
      </c>
      <c r="L176" s="167">
        <v>1.0</v>
      </c>
      <c r="M176" s="167">
        <v>1.0</v>
      </c>
      <c r="N176" s="167">
        <v>1.0</v>
      </c>
      <c r="O176" s="169">
        <v>1.0</v>
      </c>
      <c r="P176" s="166">
        <v>1.0</v>
      </c>
      <c r="Q176" s="167">
        <v>1.0</v>
      </c>
      <c r="R176" s="167">
        <v>1.0</v>
      </c>
      <c r="S176" s="167">
        <v>1.0</v>
      </c>
      <c r="T176" s="168">
        <v>1.0</v>
      </c>
      <c r="U176" s="170">
        <f t="shared" si="36"/>
        <v>1</v>
      </c>
      <c r="V176" s="170">
        <f t="shared" si="37"/>
        <v>1</v>
      </c>
    </row>
    <row r="177">
      <c r="A177" s="163">
        <v>1160011.0</v>
      </c>
      <c r="B177" s="164" t="s">
        <v>464</v>
      </c>
      <c r="C177" s="165">
        <v>7.0</v>
      </c>
      <c r="D177" s="166">
        <v>1.0</v>
      </c>
      <c r="E177" s="167">
        <v>1.0</v>
      </c>
      <c r="F177" s="167">
        <v>1.0</v>
      </c>
      <c r="G177" s="167">
        <v>1.0</v>
      </c>
      <c r="H177" s="167">
        <v>1.0</v>
      </c>
      <c r="I177" s="168">
        <v>1.0</v>
      </c>
      <c r="J177" s="167">
        <v>1.0</v>
      </c>
      <c r="K177" s="167">
        <v>1.0</v>
      </c>
      <c r="L177" s="167">
        <v>1.0</v>
      </c>
      <c r="M177" s="167">
        <v>1.0</v>
      </c>
      <c r="N177" s="167">
        <v>1.0</v>
      </c>
      <c r="O177" s="169">
        <v>1.0</v>
      </c>
      <c r="P177" s="166">
        <v>1.0</v>
      </c>
      <c r="Q177" s="167">
        <v>1.0</v>
      </c>
      <c r="R177" s="167">
        <v>1.0</v>
      </c>
      <c r="S177" s="167">
        <v>1.0</v>
      </c>
      <c r="T177" s="168">
        <v>1.0</v>
      </c>
      <c r="U177" s="170">
        <f t="shared" si="36"/>
        <v>1</v>
      </c>
      <c r="V177" s="170">
        <f t="shared" si="37"/>
        <v>1</v>
      </c>
    </row>
    <row r="178">
      <c r="A178" s="163">
        <v>1160012.0</v>
      </c>
      <c r="B178" s="164" t="s">
        <v>466</v>
      </c>
      <c r="C178" s="165">
        <v>7.0</v>
      </c>
      <c r="D178" s="166">
        <v>1.0</v>
      </c>
      <c r="E178" s="167">
        <v>1.0</v>
      </c>
      <c r="F178" s="167">
        <v>1.0</v>
      </c>
      <c r="G178" s="167">
        <v>1.0</v>
      </c>
      <c r="H178" s="167">
        <v>1.0</v>
      </c>
      <c r="I178" s="168">
        <v>1.0</v>
      </c>
      <c r="J178" s="167">
        <v>1.0</v>
      </c>
      <c r="K178" s="167">
        <v>1.0</v>
      </c>
      <c r="L178" s="167">
        <v>1.0</v>
      </c>
      <c r="M178" s="167">
        <v>1.0</v>
      </c>
      <c r="N178" s="178"/>
      <c r="O178" s="169">
        <v>1.0</v>
      </c>
      <c r="P178" s="166">
        <v>1.0</v>
      </c>
      <c r="Q178" s="167">
        <v>1.0</v>
      </c>
      <c r="R178" s="167">
        <v>1.0</v>
      </c>
      <c r="S178" s="167">
        <v>1.0</v>
      </c>
      <c r="T178" s="168">
        <v>1.0</v>
      </c>
      <c r="U178" s="170">
        <f t="shared" si="36"/>
        <v>1</v>
      </c>
      <c r="V178" s="170">
        <f t="shared" si="37"/>
        <v>1</v>
      </c>
    </row>
    <row r="179">
      <c r="A179" s="163">
        <v>1160013.0</v>
      </c>
      <c r="B179" s="164" t="s">
        <v>468</v>
      </c>
      <c r="C179" s="165">
        <v>7.0</v>
      </c>
      <c r="D179" s="166">
        <v>1.0</v>
      </c>
      <c r="E179" s="167">
        <v>1.0</v>
      </c>
      <c r="F179" s="167">
        <v>1.0</v>
      </c>
      <c r="G179" s="167">
        <v>1.0</v>
      </c>
      <c r="H179" s="167">
        <v>1.0</v>
      </c>
      <c r="I179" s="168">
        <v>1.0</v>
      </c>
      <c r="J179" s="167">
        <v>1.0</v>
      </c>
      <c r="K179" s="167">
        <v>1.0</v>
      </c>
      <c r="L179" s="167">
        <v>1.0</v>
      </c>
      <c r="M179" s="167">
        <v>1.0</v>
      </c>
      <c r="N179" s="167">
        <v>1.0</v>
      </c>
      <c r="O179" s="169">
        <v>1.0</v>
      </c>
      <c r="P179" s="166">
        <v>1.0</v>
      </c>
      <c r="Q179" s="167">
        <v>1.0</v>
      </c>
      <c r="R179" s="167">
        <v>1.0</v>
      </c>
      <c r="S179" s="167">
        <v>1.0</v>
      </c>
      <c r="T179" s="168">
        <v>1.0</v>
      </c>
      <c r="U179" s="170">
        <f t="shared" si="36"/>
        <v>1</v>
      </c>
      <c r="V179" s="170">
        <f t="shared" si="37"/>
        <v>1</v>
      </c>
    </row>
    <row r="180">
      <c r="A180" s="163">
        <v>1160014.0</v>
      </c>
      <c r="B180" s="164" t="s">
        <v>470</v>
      </c>
      <c r="C180" s="165">
        <v>7.0</v>
      </c>
      <c r="D180" s="166">
        <v>1.0</v>
      </c>
      <c r="E180" s="167">
        <v>1.0</v>
      </c>
      <c r="F180" s="167">
        <v>1.0</v>
      </c>
      <c r="G180" s="167">
        <v>1.0</v>
      </c>
      <c r="H180" s="167">
        <v>1.0</v>
      </c>
      <c r="I180" s="168">
        <v>1.0</v>
      </c>
      <c r="J180" s="178"/>
      <c r="K180" s="178"/>
      <c r="L180" s="178"/>
      <c r="M180" s="178"/>
      <c r="N180" s="178"/>
      <c r="O180" s="179"/>
      <c r="P180" s="166">
        <v>1.0</v>
      </c>
      <c r="Q180" s="167">
        <v>1.0</v>
      </c>
      <c r="R180" s="167">
        <v>1.0</v>
      </c>
      <c r="S180" s="167">
        <v>1.0</v>
      </c>
      <c r="T180" s="168">
        <v>1.0</v>
      </c>
      <c r="U180" s="170">
        <f t="shared" si="36"/>
        <v>1</v>
      </c>
      <c r="V180" s="170">
        <f t="shared" si="37"/>
        <v>1</v>
      </c>
    </row>
    <row r="181">
      <c r="A181" s="163">
        <v>1160015.0</v>
      </c>
      <c r="B181" s="164" t="s">
        <v>473</v>
      </c>
      <c r="C181" s="165">
        <v>7.0</v>
      </c>
      <c r="D181" s="166">
        <v>1.0</v>
      </c>
      <c r="E181" s="167">
        <v>1.0</v>
      </c>
      <c r="F181" s="167">
        <v>1.0</v>
      </c>
      <c r="G181" s="167">
        <v>1.0</v>
      </c>
      <c r="H181" s="167">
        <v>1.0</v>
      </c>
      <c r="I181" s="168">
        <v>1.0</v>
      </c>
      <c r="J181" s="167">
        <v>1.0</v>
      </c>
      <c r="K181" s="167">
        <v>1.0</v>
      </c>
      <c r="L181" s="167">
        <v>1.0</v>
      </c>
      <c r="M181" s="167">
        <v>1.0</v>
      </c>
      <c r="N181" s="167">
        <v>1.0</v>
      </c>
      <c r="O181" s="169">
        <v>1.0</v>
      </c>
      <c r="P181" s="166">
        <v>1.0</v>
      </c>
      <c r="Q181" s="167">
        <v>1.0</v>
      </c>
      <c r="R181" s="167">
        <v>1.0</v>
      </c>
      <c r="S181" s="167">
        <v>1.0</v>
      </c>
      <c r="T181" s="168">
        <v>1.0</v>
      </c>
      <c r="U181" s="170">
        <f t="shared" si="36"/>
        <v>1</v>
      </c>
      <c r="V181" s="170">
        <f t="shared" si="37"/>
        <v>1</v>
      </c>
    </row>
    <row r="182">
      <c r="A182" s="163">
        <v>1160016.0</v>
      </c>
      <c r="B182" s="164" t="s">
        <v>475</v>
      </c>
      <c r="C182" s="165">
        <v>7.0</v>
      </c>
      <c r="D182" s="166">
        <v>1.0</v>
      </c>
      <c r="E182" s="167">
        <v>1.0</v>
      </c>
      <c r="F182" s="167">
        <v>1.0</v>
      </c>
      <c r="G182" s="167">
        <v>1.0</v>
      </c>
      <c r="H182" s="167">
        <v>1.0</v>
      </c>
      <c r="I182" s="168">
        <v>1.0</v>
      </c>
      <c r="J182" s="167">
        <v>1.0</v>
      </c>
      <c r="K182" s="167">
        <v>1.0</v>
      </c>
      <c r="L182" s="167">
        <v>1.0</v>
      </c>
      <c r="M182" s="167">
        <v>1.0</v>
      </c>
      <c r="N182" s="167">
        <v>1.0</v>
      </c>
      <c r="O182" s="169">
        <v>1.0</v>
      </c>
      <c r="P182" s="166">
        <v>1.0</v>
      </c>
      <c r="Q182" s="167">
        <v>1.0</v>
      </c>
      <c r="R182" s="167">
        <v>1.0</v>
      </c>
      <c r="S182" s="167">
        <v>1.0</v>
      </c>
      <c r="T182" s="168">
        <v>1.0</v>
      </c>
      <c r="U182" s="170">
        <f t="shared" si="36"/>
        <v>1</v>
      </c>
      <c r="V182" s="170">
        <f t="shared" si="37"/>
        <v>1</v>
      </c>
    </row>
    <row r="183">
      <c r="A183" s="163">
        <v>1160017.0</v>
      </c>
      <c r="B183" s="164" t="s">
        <v>477</v>
      </c>
      <c r="C183" s="165">
        <v>7.0</v>
      </c>
      <c r="D183" s="166">
        <v>1.0</v>
      </c>
      <c r="E183" s="167">
        <v>1.0</v>
      </c>
      <c r="F183" s="167">
        <v>1.0</v>
      </c>
      <c r="G183" s="167">
        <v>1.0</v>
      </c>
      <c r="H183" s="167">
        <v>1.0</v>
      </c>
      <c r="I183" s="168">
        <v>1.0</v>
      </c>
      <c r="J183" s="178"/>
      <c r="K183" s="178"/>
      <c r="L183" s="178"/>
      <c r="M183" s="178"/>
      <c r="N183" s="178"/>
      <c r="O183" s="179"/>
      <c r="P183" s="166">
        <v>1.0</v>
      </c>
      <c r="Q183" s="167">
        <v>1.0</v>
      </c>
      <c r="R183" s="167">
        <v>1.0</v>
      </c>
      <c r="S183" s="167">
        <v>1.0</v>
      </c>
      <c r="T183" s="168">
        <v>1.0</v>
      </c>
      <c r="U183" s="170">
        <f t="shared" si="36"/>
        <v>1</v>
      </c>
      <c r="V183" s="170">
        <f t="shared" si="37"/>
        <v>1</v>
      </c>
    </row>
    <row r="184">
      <c r="A184" s="185">
        <v>1170000.0</v>
      </c>
      <c r="B184" s="186" t="s">
        <v>1770</v>
      </c>
      <c r="C184" s="151">
        <v>3.0</v>
      </c>
      <c r="D184" s="187"/>
      <c r="E184" s="188"/>
      <c r="F184" s="188"/>
      <c r="G184" s="188"/>
      <c r="H184" s="188"/>
      <c r="I184" s="189"/>
      <c r="J184" s="188"/>
      <c r="K184" s="188"/>
      <c r="L184" s="188"/>
      <c r="M184" s="188"/>
      <c r="N184" s="188"/>
      <c r="O184" s="190"/>
      <c r="P184" s="187"/>
      <c r="Q184" s="188"/>
      <c r="R184" s="188"/>
      <c r="S184" s="188"/>
      <c r="T184" s="189"/>
    </row>
    <row r="185">
      <c r="A185" s="191">
        <v>1171000.0</v>
      </c>
      <c r="B185" s="192" t="s">
        <v>1771</v>
      </c>
      <c r="C185" s="158">
        <v>4.0</v>
      </c>
      <c r="D185" s="193"/>
      <c r="E185" s="194"/>
      <c r="F185" s="194"/>
      <c r="G185" s="194"/>
      <c r="H185" s="194"/>
      <c r="I185" s="195"/>
      <c r="J185" s="194"/>
      <c r="K185" s="194"/>
      <c r="L185" s="194"/>
      <c r="M185" s="194"/>
      <c r="N185" s="194"/>
      <c r="O185" s="196"/>
      <c r="P185" s="193"/>
      <c r="Q185" s="194"/>
      <c r="R185" s="194"/>
      <c r="S185" s="194"/>
      <c r="T185" s="195"/>
    </row>
    <row r="186">
      <c r="A186" s="197">
        <v>1171001.0</v>
      </c>
      <c r="B186" s="198" t="s">
        <v>377</v>
      </c>
      <c r="C186" s="165">
        <v>7.0</v>
      </c>
      <c r="D186" s="166">
        <v>1.0</v>
      </c>
      <c r="E186" s="167">
        <v>1.0</v>
      </c>
      <c r="F186" s="167">
        <v>1.0</v>
      </c>
      <c r="G186" s="167">
        <v>1.0</v>
      </c>
      <c r="H186" s="167">
        <v>1.0</v>
      </c>
      <c r="I186" s="168">
        <v>1.0</v>
      </c>
      <c r="J186" s="167">
        <v>1.0</v>
      </c>
      <c r="K186" s="167">
        <v>1.0</v>
      </c>
      <c r="L186" s="167">
        <v>1.0</v>
      </c>
      <c r="M186" s="167">
        <v>1.0</v>
      </c>
      <c r="N186" s="167">
        <v>1.0</v>
      </c>
      <c r="O186" s="169">
        <v>1.0</v>
      </c>
      <c r="P186" s="166">
        <v>1.0</v>
      </c>
      <c r="Q186" s="167">
        <v>1.0</v>
      </c>
      <c r="R186" s="167">
        <v>1.0</v>
      </c>
      <c r="S186" s="167">
        <v>1.0</v>
      </c>
      <c r="T186" s="168">
        <v>1.0</v>
      </c>
      <c r="U186" s="170">
        <f t="shared" ref="U186:U190" si="38">if(I186+O186&gt;0,1,"")</f>
        <v>1</v>
      </c>
      <c r="V186" s="170">
        <f t="shared" ref="V186:V190" si="39">if(T186&gt;0,1,"")</f>
        <v>1</v>
      </c>
    </row>
    <row r="187">
      <c r="A187" s="197">
        <v>1171002.0</v>
      </c>
      <c r="B187" s="198" t="s">
        <v>379</v>
      </c>
      <c r="C187" s="165">
        <v>7.0</v>
      </c>
      <c r="D187" s="166">
        <v>1.0</v>
      </c>
      <c r="E187" s="167">
        <v>1.0</v>
      </c>
      <c r="F187" s="178"/>
      <c r="G187" s="178"/>
      <c r="H187" s="178"/>
      <c r="I187" s="168">
        <v>1.0</v>
      </c>
      <c r="J187" s="178"/>
      <c r="K187" s="178"/>
      <c r="L187" s="178"/>
      <c r="M187" s="178"/>
      <c r="N187" s="178"/>
      <c r="O187" s="179"/>
      <c r="P187" s="180"/>
      <c r="Q187" s="178"/>
      <c r="R187" s="178"/>
      <c r="S187" s="178"/>
      <c r="T187" s="181"/>
      <c r="U187" s="170">
        <f t="shared" si="38"/>
        <v>1</v>
      </c>
      <c r="V187" s="170" t="str">
        <f t="shared" si="39"/>
        <v/>
      </c>
    </row>
    <row r="188">
      <c r="A188" s="197">
        <v>1171003.0</v>
      </c>
      <c r="B188" s="198" t="s">
        <v>387</v>
      </c>
      <c r="C188" s="165">
        <v>7.0</v>
      </c>
      <c r="D188" s="184"/>
      <c r="E188" s="178"/>
      <c r="F188" s="167">
        <v>1.0</v>
      </c>
      <c r="G188" s="167">
        <v>1.0</v>
      </c>
      <c r="H188" s="167">
        <v>1.0</v>
      </c>
      <c r="I188" s="168">
        <v>1.0</v>
      </c>
      <c r="J188" s="178"/>
      <c r="K188" s="178"/>
      <c r="L188" s="178"/>
      <c r="M188" s="178"/>
      <c r="N188" s="178"/>
      <c r="O188" s="179"/>
      <c r="P188" s="166">
        <v>1.0</v>
      </c>
      <c r="Q188" s="167">
        <v>1.0</v>
      </c>
      <c r="R188" s="167">
        <v>1.0</v>
      </c>
      <c r="S188" s="167">
        <v>1.0</v>
      </c>
      <c r="T188" s="168">
        <v>1.0</v>
      </c>
      <c r="U188" s="170">
        <f t="shared" si="38"/>
        <v>1</v>
      </c>
      <c r="V188" s="170">
        <f t="shared" si="39"/>
        <v>1</v>
      </c>
    </row>
    <row r="189">
      <c r="A189" s="197">
        <v>1171004.0</v>
      </c>
      <c r="B189" s="198" t="s">
        <v>383</v>
      </c>
      <c r="C189" s="165">
        <v>7.0</v>
      </c>
      <c r="D189" s="166">
        <v>1.0</v>
      </c>
      <c r="E189" s="167">
        <v>1.0</v>
      </c>
      <c r="F189" s="167">
        <v>1.0</v>
      </c>
      <c r="G189" s="167">
        <v>1.0</v>
      </c>
      <c r="H189" s="167">
        <v>1.0</v>
      </c>
      <c r="I189" s="168">
        <v>1.0</v>
      </c>
      <c r="J189" s="167">
        <v>1.0</v>
      </c>
      <c r="K189" s="167">
        <v>1.0</v>
      </c>
      <c r="L189" s="167">
        <v>1.0</v>
      </c>
      <c r="M189" s="167">
        <v>1.0</v>
      </c>
      <c r="N189" s="167">
        <v>1.0</v>
      </c>
      <c r="O189" s="169">
        <v>1.0</v>
      </c>
      <c r="P189" s="166">
        <v>1.0</v>
      </c>
      <c r="Q189" s="167">
        <v>1.0</v>
      </c>
      <c r="R189" s="167">
        <v>1.0</v>
      </c>
      <c r="S189" s="167">
        <v>1.0</v>
      </c>
      <c r="T189" s="168">
        <v>1.0</v>
      </c>
      <c r="U189" s="170">
        <f t="shared" si="38"/>
        <v>1</v>
      </c>
      <c r="V189" s="170">
        <f t="shared" si="39"/>
        <v>1</v>
      </c>
    </row>
    <row r="190">
      <c r="A190" s="197">
        <v>1171006.0</v>
      </c>
      <c r="B190" s="198" t="s">
        <v>389</v>
      </c>
      <c r="C190" s="165">
        <v>7.0</v>
      </c>
      <c r="D190" s="166">
        <v>1.0</v>
      </c>
      <c r="E190" s="167">
        <v>1.0</v>
      </c>
      <c r="F190" s="167">
        <v>1.0</v>
      </c>
      <c r="G190" s="167">
        <v>1.0</v>
      </c>
      <c r="H190" s="167">
        <v>1.0</v>
      </c>
      <c r="I190" s="168">
        <v>1.0</v>
      </c>
      <c r="J190" s="167">
        <v>1.0</v>
      </c>
      <c r="K190" s="167">
        <v>1.0</v>
      </c>
      <c r="L190" s="167">
        <v>1.0</v>
      </c>
      <c r="M190" s="167">
        <v>1.0</v>
      </c>
      <c r="N190" s="167">
        <v>1.0</v>
      </c>
      <c r="O190" s="169">
        <v>1.0</v>
      </c>
      <c r="P190" s="166">
        <v>1.0</v>
      </c>
      <c r="Q190" s="167">
        <v>1.0</v>
      </c>
      <c r="R190" s="167">
        <v>1.0</v>
      </c>
      <c r="S190" s="167">
        <v>1.0</v>
      </c>
      <c r="T190" s="168">
        <v>1.0</v>
      </c>
      <c r="U190" s="170">
        <f t="shared" si="38"/>
        <v>1</v>
      </c>
      <c r="V190" s="170">
        <f t="shared" si="39"/>
        <v>1</v>
      </c>
    </row>
    <row r="191">
      <c r="A191" s="142">
        <v>1200000.0</v>
      </c>
      <c r="B191" s="143" t="s">
        <v>1772</v>
      </c>
      <c r="C191" s="144">
        <v>2.0</v>
      </c>
      <c r="D191" s="145"/>
      <c r="E191" s="146"/>
      <c r="F191" s="146"/>
      <c r="G191" s="146"/>
      <c r="H191" s="146"/>
      <c r="I191" s="147"/>
      <c r="J191" s="146"/>
      <c r="K191" s="146"/>
      <c r="L191" s="146"/>
      <c r="M191" s="146"/>
      <c r="N191" s="146"/>
      <c r="O191" s="148"/>
      <c r="P191" s="145"/>
      <c r="Q191" s="146"/>
      <c r="R191" s="146"/>
      <c r="S191" s="146"/>
      <c r="T191" s="147"/>
    </row>
    <row r="192">
      <c r="A192" s="199">
        <v>1230000.0</v>
      </c>
      <c r="B192" s="200" t="s">
        <v>1773</v>
      </c>
      <c r="C192" s="151">
        <v>3.0</v>
      </c>
      <c r="D192" s="201"/>
      <c r="E192" s="202"/>
      <c r="F192" s="202"/>
      <c r="G192" s="202"/>
      <c r="H192" s="202"/>
      <c r="I192" s="203"/>
      <c r="J192" s="202"/>
      <c r="K192" s="202"/>
      <c r="L192" s="202"/>
      <c r="M192" s="202"/>
      <c r="N192" s="202"/>
      <c r="O192" s="204"/>
      <c r="P192" s="201"/>
      <c r="Q192" s="202"/>
      <c r="R192" s="202"/>
      <c r="S192" s="202"/>
      <c r="T192" s="203"/>
    </row>
    <row r="193">
      <c r="A193" s="163">
        <v>1230001.0</v>
      </c>
      <c r="B193" s="164" t="s">
        <v>527</v>
      </c>
      <c r="C193" s="165">
        <v>7.0</v>
      </c>
      <c r="D193" s="166">
        <v>1.0</v>
      </c>
      <c r="E193" s="167">
        <v>1.0</v>
      </c>
      <c r="F193" s="167">
        <v>1.0</v>
      </c>
      <c r="G193" s="167">
        <v>1.0</v>
      </c>
      <c r="H193" s="167">
        <v>1.0</v>
      </c>
      <c r="I193" s="168">
        <v>1.0</v>
      </c>
      <c r="J193" s="167">
        <v>1.0</v>
      </c>
      <c r="K193" s="167">
        <v>1.0</v>
      </c>
      <c r="L193" s="167">
        <v>1.0</v>
      </c>
      <c r="M193" s="167">
        <v>1.0</v>
      </c>
      <c r="N193" s="167">
        <v>1.0</v>
      </c>
      <c r="O193" s="169">
        <v>1.0</v>
      </c>
      <c r="P193" s="166">
        <v>1.0</v>
      </c>
      <c r="Q193" s="167">
        <v>1.0</v>
      </c>
      <c r="R193" s="167">
        <v>1.0</v>
      </c>
      <c r="S193" s="167">
        <v>1.0</v>
      </c>
      <c r="T193" s="168">
        <v>1.0</v>
      </c>
      <c r="U193" s="170">
        <f t="shared" ref="U193:U211" si="40">if(I193+O193&gt;0,1,"")</f>
        <v>1</v>
      </c>
      <c r="V193" s="170">
        <f t="shared" ref="V193:V211" si="41">if(T193&gt;0,1,"")</f>
        <v>1</v>
      </c>
    </row>
    <row r="194">
      <c r="A194" s="163">
        <v>1230002.0</v>
      </c>
      <c r="B194" s="164" t="s">
        <v>489</v>
      </c>
      <c r="C194" s="165">
        <v>7.0</v>
      </c>
      <c r="D194" s="166">
        <v>1.0</v>
      </c>
      <c r="E194" s="167">
        <v>1.0</v>
      </c>
      <c r="F194" s="167">
        <v>1.0</v>
      </c>
      <c r="G194" s="167">
        <v>1.0</v>
      </c>
      <c r="H194" s="167">
        <v>1.0</v>
      </c>
      <c r="I194" s="168">
        <v>1.0</v>
      </c>
      <c r="J194" s="167">
        <v>1.0</v>
      </c>
      <c r="K194" s="167">
        <v>1.0</v>
      </c>
      <c r="L194" s="167">
        <v>1.0</v>
      </c>
      <c r="M194" s="167">
        <v>1.0</v>
      </c>
      <c r="N194" s="167">
        <v>1.0</v>
      </c>
      <c r="O194" s="169">
        <v>1.0</v>
      </c>
      <c r="P194" s="166">
        <v>1.0</v>
      </c>
      <c r="Q194" s="167">
        <v>1.0</v>
      </c>
      <c r="R194" s="167">
        <v>1.0</v>
      </c>
      <c r="S194" s="167">
        <v>1.0</v>
      </c>
      <c r="T194" s="168">
        <v>1.0</v>
      </c>
      <c r="U194" s="170">
        <f t="shared" si="40"/>
        <v>1</v>
      </c>
      <c r="V194" s="170">
        <f t="shared" si="41"/>
        <v>1</v>
      </c>
    </row>
    <row r="195">
      <c r="A195" s="163">
        <v>1230003.0</v>
      </c>
      <c r="B195" s="164" t="s">
        <v>515</v>
      </c>
      <c r="C195" s="165">
        <v>7.0</v>
      </c>
      <c r="D195" s="166">
        <v>1.0</v>
      </c>
      <c r="E195" s="167">
        <v>1.0</v>
      </c>
      <c r="F195" s="167">
        <v>1.0</v>
      </c>
      <c r="G195" s="167">
        <v>1.0</v>
      </c>
      <c r="H195" s="167">
        <v>1.0</v>
      </c>
      <c r="I195" s="168">
        <v>1.0</v>
      </c>
      <c r="J195" s="167">
        <v>1.0</v>
      </c>
      <c r="K195" s="167">
        <v>1.0</v>
      </c>
      <c r="L195" s="167">
        <v>1.0</v>
      </c>
      <c r="M195" s="167">
        <v>1.0</v>
      </c>
      <c r="N195" s="167">
        <v>1.0</v>
      </c>
      <c r="O195" s="169">
        <v>1.0</v>
      </c>
      <c r="P195" s="166">
        <v>1.0</v>
      </c>
      <c r="Q195" s="167">
        <v>1.0</v>
      </c>
      <c r="R195" s="167">
        <v>1.0</v>
      </c>
      <c r="S195" s="167">
        <v>1.0</v>
      </c>
      <c r="T195" s="168">
        <v>1.0</v>
      </c>
      <c r="U195" s="170">
        <f t="shared" si="40"/>
        <v>1</v>
      </c>
      <c r="V195" s="170">
        <f t="shared" si="41"/>
        <v>1</v>
      </c>
    </row>
    <row r="196">
      <c r="A196" s="163">
        <v>1230004.0</v>
      </c>
      <c r="B196" s="164" t="s">
        <v>513</v>
      </c>
      <c r="C196" s="165">
        <v>7.0</v>
      </c>
      <c r="D196" s="166">
        <v>1.0</v>
      </c>
      <c r="E196" s="167">
        <v>1.0</v>
      </c>
      <c r="F196" s="167">
        <v>1.0</v>
      </c>
      <c r="G196" s="167">
        <v>1.0</v>
      </c>
      <c r="H196" s="167">
        <v>1.0</v>
      </c>
      <c r="I196" s="168">
        <v>1.0</v>
      </c>
      <c r="J196" s="167">
        <v>1.0</v>
      </c>
      <c r="K196" s="167">
        <v>1.0</v>
      </c>
      <c r="L196" s="167">
        <v>1.0</v>
      </c>
      <c r="M196" s="167">
        <v>1.0</v>
      </c>
      <c r="N196" s="167">
        <v>1.0</v>
      </c>
      <c r="O196" s="169">
        <v>1.0</v>
      </c>
      <c r="P196" s="166">
        <v>1.0</v>
      </c>
      <c r="Q196" s="167">
        <v>1.0</v>
      </c>
      <c r="R196" s="167">
        <v>1.0</v>
      </c>
      <c r="S196" s="167">
        <v>1.0</v>
      </c>
      <c r="T196" s="168">
        <v>1.0</v>
      </c>
      <c r="U196" s="170">
        <f t="shared" si="40"/>
        <v>1</v>
      </c>
      <c r="V196" s="170">
        <f t="shared" si="41"/>
        <v>1</v>
      </c>
    </row>
    <row r="197">
      <c r="A197" s="163">
        <v>1230005.0</v>
      </c>
      <c r="B197" s="164" t="s">
        <v>493</v>
      </c>
      <c r="C197" s="165">
        <v>7.0</v>
      </c>
      <c r="D197" s="166">
        <v>1.0</v>
      </c>
      <c r="E197" s="167">
        <v>1.0</v>
      </c>
      <c r="F197" s="167">
        <v>1.0</v>
      </c>
      <c r="G197" s="167">
        <v>1.0</v>
      </c>
      <c r="H197" s="167">
        <v>1.0</v>
      </c>
      <c r="I197" s="168">
        <v>1.0</v>
      </c>
      <c r="J197" s="167">
        <v>1.0</v>
      </c>
      <c r="K197" s="167">
        <v>1.0</v>
      </c>
      <c r="L197" s="167">
        <v>1.0</v>
      </c>
      <c r="M197" s="167">
        <v>1.0</v>
      </c>
      <c r="N197" s="167">
        <v>1.0</v>
      </c>
      <c r="O197" s="169">
        <v>1.0</v>
      </c>
      <c r="P197" s="166">
        <v>1.0</v>
      </c>
      <c r="Q197" s="167">
        <v>1.0</v>
      </c>
      <c r="R197" s="167">
        <v>1.0</v>
      </c>
      <c r="S197" s="167">
        <v>1.0</v>
      </c>
      <c r="T197" s="168">
        <v>1.0</v>
      </c>
      <c r="U197" s="170">
        <f t="shared" si="40"/>
        <v>1</v>
      </c>
      <c r="V197" s="170">
        <f t="shared" si="41"/>
        <v>1</v>
      </c>
    </row>
    <row r="198">
      <c r="A198" s="163">
        <v>1230006.0</v>
      </c>
      <c r="B198" s="164" t="s">
        <v>509</v>
      </c>
      <c r="C198" s="165">
        <v>7.0</v>
      </c>
      <c r="D198" s="166">
        <v>1.0</v>
      </c>
      <c r="E198" s="167">
        <v>1.0</v>
      </c>
      <c r="F198" s="167">
        <v>1.0</v>
      </c>
      <c r="G198" s="167">
        <v>1.0</v>
      </c>
      <c r="H198" s="167">
        <v>1.0</v>
      </c>
      <c r="I198" s="168">
        <v>1.0</v>
      </c>
      <c r="J198" s="167">
        <v>1.0</v>
      </c>
      <c r="K198" s="167">
        <v>1.0</v>
      </c>
      <c r="L198" s="167">
        <v>1.0</v>
      </c>
      <c r="M198" s="167">
        <v>1.0</v>
      </c>
      <c r="N198" s="167">
        <v>1.0</v>
      </c>
      <c r="O198" s="169">
        <v>1.0</v>
      </c>
      <c r="P198" s="166">
        <v>1.0</v>
      </c>
      <c r="Q198" s="167">
        <v>1.0</v>
      </c>
      <c r="R198" s="167">
        <v>1.0</v>
      </c>
      <c r="S198" s="167">
        <v>1.0</v>
      </c>
      <c r="T198" s="168">
        <v>1.0</v>
      </c>
      <c r="U198" s="170">
        <f t="shared" si="40"/>
        <v>1</v>
      </c>
      <c r="V198" s="170">
        <f t="shared" si="41"/>
        <v>1</v>
      </c>
    </row>
    <row r="199">
      <c r="A199" s="163">
        <v>1230007.0</v>
      </c>
      <c r="B199" s="164" t="s">
        <v>487</v>
      </c>
      <c r="C199" s="165">
        <v>7.0</v>
      </c>
      <c r="D199" s="166">
        <v>1.0</v>
      </c>
      <c r="E199" s="167">
        <v>1.0</v>
      </c>
      <c r="F199" s="167">
        <v>1.0</v>
      </c>
      <c r="G199" s="167">
        <v>1.0</v>
      </c>
      <c r="H199" s="167">
        <v>1.0</v>
      </c>
      <c r="I199" s="168">
        <v>1.0</v>
      </c>
      <c r="J199" s="167">
        <v>1.0</v>
      </c>
      <c r="K199" s="167">
        <v>1.0</v>
      </c>
      <c r="L199" s="167">
        <v>1.0</v>
      </c>
      <c r="M199" s="167">
        <v>1.0</v>
      </c>
      <c r="N199" s="167">
        <v>1.0</v>
      </c>
      <c r="O199" s="169">
        <v>1.0</v>
      </c>
      <c r="P199" s="166">
        <v>1.0</v>
      </c>
      <c r="Q199" s="167">
        <v>1.0</v>
      </c>
      <c r="R199" s="167">
        <v>1.0</v>
      </c>
      <c r="S199" s="167">
        <v>1.0</v>
      </c>
      <c r="T199" s="168">
        <v>1.0</v>
      </c>
      <c r="U199" s="170">
        <f t="shared" si="40"/>
        <v>1</v>
      </c>
      <c r="V199" s="170">
        <f t="shared" si="41"/>
        <v>1</v>
      </c>
    </row>
    <row r="200">
      <c r="A200" s="163">
        <v>1230008.0</v>
      </c>
      <c r="B200" s="164" t="s">
        <v>491</v>
      </c>
      <c r="C200" s="165">
        <v>7.0</v>
      </c>
      <c r="D200" s="166">
        <v>1.0</v>
      </c>
      <c r="E200" s="167">
        <v>1.0</v>
      </c>
      <c r="F200" s="167">
        <v>1.0</v>
      </c>
      <c r="G200" s="167">
        <v>1.0</v>
      </c>
      <c r="H200" s="167">
        <v>1.0</v>
      </c>
      <c r="I200" s="168">
        <v>1.0</v>
      </c>
      <c r="J200" s="167">
        <v>1.0</v>
      </c>
      <c r="K200" s="167">
        <v>1.0</v>
      </c>
      <c r="L200" s="167">
        <v>1.0</v>
      </c>
      <c r="M200" s="167">
        <v>1.0</v>
      </c>
      <c r="N200" s="167">
        <v>1.0</v>
      </c>
      <c r="O200" s="169">
        <v>1.0</v>
      </c>
      <c r="P200" s="166">
        <v>1.0</v>
      </c>
      <c r="Q200" s="167">
        <v>1.0</v>
      </c>
      <c r="R200" s="167">
        <v>1.0</v>
      </c>
      <c r="S200" s="167">
        <v>1.0</v>
      </c>
      <c r="T200" s="168">
        <v>1.0</v>
      </c>
      <c r="U200" s="170">
        <f t="shared" si="40"/>
        <v>1</v>
      </c>
      <c r="V200" s="170">
        <f t="shared" si="41"/>
        <v>1</v>
      </c>
    </row>
    <row r="201">
      <c r="A201" s="163">
        <v>1230009.0</v>
      </c>
      <c r="B201" s="164" t="s">
        <v>541</v>
      </c>
      <c r="C201" s="165">
        <v>7.0</v>
      </c>
      <c r="D201" s="166">
        <v>1.0</v>
      </c>
      <c r="E201" s="167">
        <v>1.0</v>
      </c>
      <c r="F201" s="167">
        <v>1.0</v>
      </c>
      <c r="G201" s="167">
        <v>1.0</v>
      </c>
      <c r="H201" s="167">
        <v>1.0</v>
      </c>
      <c r="I201" s="168">
        <v>1.0</v>
      </c>
      <c r="J201" s="167">
        <v>1.0</v>
      </c>
      <c r="K201" s="167">
        <v>1.0</v>
      </c>
      <c r="L201" s="167">
        <v>1.0</v>
      </c>
      <c r="M201" s="167">
        <v>1.0</v>
      </c>
      <c r="N201" s="167">
        <v>1.0</v>
      </c>
      <c r="O201" s="169">
        <v>1.0</v>
      </c>
      <c r="P201" s="166">
        <v>1.0</v>
      </c>
      <c r="Q201" s="167">
        <v>1.0</v>
      </c>
      <c r="R201" s="167">
        <v>1.0</v>
      </c>
      <c r="S201" s="167">
        <v>1.0</v>
      </c>
      <c r="T201" s="168">
        <v>1.0</v>
      </c>
      <c r="U201" s="170">
        <f t="shared" si="40"/>
        <v>1</v>
      </c>
      <c r="V201" s="170">
        <f t="shared" si="41"/>
        <v>1</v>
      </c>
    </row>
    <row r="202">
      <c r="A202" s="163">
        <v>1230010.0</v>
      </c>
      <c r="B202" s="164" t="s">
        <v>544</v>
      </c>
      <c r="C202" s="165">
        <v>7.0</v>
      </c>
      <c r="D202" s="166">
        <v>1.0</v>
      </c>
      <c r="E202" s="167">
        <v>1.0</v>
      </c>
      <c r="F202" s="167">
        <v>1.0</v>
      </c>
      <c r="G202" s="167">
        <v>1.0</v>
      </c>
      <c r="H202" s="167">
        <v>1.0</v>
      </c>
      <c r="I202" s="168">
        <v>1.0</v>
      </c>
      <c r="J202" s="167">
        <v>1.0</v>
      </c>
      <c r="K202" s="167">
        <v>1.0</v>
      </c>
      <c r="L202" s="167">
        <v>1.0</v>
      </c>
      <c r="M202" s="167">
        <v>1.0</v>
      </c>
      <c r="N202" s="167">
        <v>1.0</v>
      </c>
      <c r="O202" s="169">
        <v>1.0</v>
      </c>
      <c r="P202" s="166">
        <v>1.0</v>
      </c>
      <c r="Q202" s="167">
        <v>1.0</v>
      </c>
      <c r="R202" s="167">
        <v>1.0</v>
      </c>
      <c r="S202" s="167">
        <v>1.0</v>
      </c>
      <c r="T202" s="168">
        <v>1.0</v>
      </c>
      <c r="U202" s="170">
        <f t="shared" si="40"/>
        <v>1</v>
      </c>
      <c r="V202" s="170">
        <f t="shared" si="41"/>
        <v>1</v>
      </c>
    </row>
    <row r="203">
      <c r="A203" s="163">
        <v>1230011.0</v>
      </c>
      <c r="B203" s="164" t="s">
        <v>125</v>
      </c>
      <c r="C203" s="165">
        <v>7.0</v>
      </c>
      <c r="D203" s="166">
        <v>1.0</v>
      </c>
      <c r="E203" s="167">
        <v>1.0</v>
      </c>
      <c r="F203" s="167">
        <v>1.0</v>
      </c>
      <c r="G203" s="167">
        <v>1.0</v>
      </c>
      <c r="H203" s="167">
        <v>1.0</v>
      </c>
      <c r="I203" s="168">
        <v>1.0</v>
      </c>
      <c r="J203" s="167">
        <v>1.0</v>
      </c>
      <c r="K203" s="167">
        <v>1.0</v>
      </c>
      <c r="L203" s="167">
        <v>1.0</v>
      </c>
      <c r="M203" s="167">
        <v>1.0</v>
      </c>
      <c r="N203" s="167">
        <v>1.0</v>
      </c>
      <c r="O203" s="169">
        <v>1.0</v>
      </c>
      <c r="P203" s="166">
        <v>1.0</v>
      </c>
      <c r="Q203" s="167">
        <v>1.0</v>
      </c>
      <c r="R203" s="167">
        <v>1.0</v>
      </c>
      <c r="S203" s="167">
        <v>1.0</v>
      </c>
      <c r="T203" s="168">
        <v>1.0</v>
      </c>
      <c r="U203" s="170">
        <f t="shared" si="40"/>
        <v>1</v>
      </c>
      <c r="V203" s="170">
        <f t="shared" si="41"/>
        <v>1</v>
      </c>
    </row>
    <row r="204">
      <c r="A204" s="163">
        <v>1230012.0</v>
      </c>
      <c r="B204" s="164" t="s">
        <v>548</v>
      </c>
      <c r="C204" s="165">
        <v>7.0</v>
      </c>
      <c r="D204" s="166">
        <v>1.0</v>
      </c>
      <c r="E204" s="167">
        <v>1.0</v>
      </c>
      <c r="F204" s="167">
        <v>1.0</v>
      </c>
      <c r="G204" s="167">
        <v>1.0</v>
      </c>
      <c r="H204" s="167">
        <v>1.0</v>
      </c>
      <c r="I204" s="168">
        <v>1.0</v>
      </c>
      <c r="J204" s="167">
        <v>1.0</v>
      </c>
      <c r="K204" s="167">
        <v>1.0</v>
      </c>
      <c r="L204" s="167">
        <v>1.0</v>
      </c>
      <c r="M204" s="167">
        <v>1.0</v>
      </c>
      <c r="N204" s="167">
        <v>1.0</v>
      </c>
      <c r="O204" s="169">
        <v>1.0</v>
      </c>
      <c r="P204" s="166">
        <v>1.0</v>
      </c>
      <c r="Q204" s="167">
        <v>1.0</v>
      </c>
      <c r="R204" s="167">
        <v>1.0</v>
      </c>
      <c r="S204" s="167">
        <v>1.0</v>
      </c>
      <c r="T204" s="168">
        <v>1.0</v>
      </c>
      <c r="U204" s="170">
        <f t="shared" si="40"/>
        <v>1</v>
      </c>
      <c r="V204" s="170">
        <f t="shared" si="41"/>
        <v>1</v>
      </c>
    </row>
    <row r="205">
      <c r="A205" s="163">
        <v>1230013.0</v>
      </c>
      <c r="B205" s="164" t="s">
        <v>550</v>
      </c>
      <c r="C205" s="165">
        <v>7.0</v>
      </c>
      <c r="D205" s="166">
        <v>1.0</v>
      </c>
      <c r="E205" s="167">
        <v>1.0</v>
      </c>
      <c r="F205" s="167">
        <v>1.0</v>
      </c>
      <c r="G205" s="167">
        <v>1.0</v>
      </c>
      <c r="H205" s="167">
        <v>1.0</v>
      </c>
      <c r="I205" s="168">
        <v>1.0</v>
      </c>
      <c r="J205" s="167">
        <v>1.0</v>
      </c>
      <c r="K205" s="167">
        <v>1.0</v>
      </c>
      <c r="L205" s="167">
        <v>1.0</v>
      </c>
      <c r="M205" s="167">
        <v>1.0</v>
      </c>
      <c r="N205" s="167">
        <v>1.0</v>
      </c>
      <c r="O205" s="169">
        <v>1.0</v>
      </c>
      <c r="P205" s="166">
        <v>1.0</v>
      </c>
      <c r="Q205" s="167">
        <v>1.0</v>
      </c>
      <c r="R205" s="167">
        <v>1.0</v>
      </c>
      <c r="S205" s="167">
        <v>1.0</v>
      </c>
      <c r="T205" s="168">
        <v>1.0</v>
      </c>
      <c r="U205" s="170">
        <f t="shared" si="40"/>
        <v>1</v>
      </c>
      <c r="V205" s="170">
        <f t="shared" si="41"/>
        <v>1</v>
      </c>
    </row>
    <row r="206">
      <c r="A206" s="163">
        <v>1230014.0</v>
      </c>
      <c r="B206" s="164" t="s">
        <v>501</v>
      </c>
      <c r="C206" s="165">
        <v>7.0</v>
      </c>
      <c r="D206" s="166">
        <v>1.0</v>
      </c>
      <c r="E206" s="167">
        <v>1.0</v>
      </c>
      <c r="F206" s="167">
        <v>1.0</v>
      </c>
      <c r="G206" s="167">
        <v>1.0</v>
      </c>
      <c r="H206" s="167">
        <v>1.0</v>
      </c>
      <c r="I206" s="168">
        <v>1.0</v>
      </c>
      <c r="J206" s="167">
        <v>1.0</v>
      </c>
      <c r="K206" s="167">
        <v>1.0</v>
      </c>
      <c r="L206" s="167">
        <v>1.0</v>
      </c>
      <c r="M206" s="167">
        <v>1.0</v>
      </c>
      <c r="N206" s="167">
        <v>1.0</v>
      </c>
      <c r="O206" s="169">
        <v>1.0</v>
      </c>
      <c r="P206" s="166">
        <v>1.0</v>
      </c>
      <c r="Q206" s="167">
        <v>1.0</v>
      </c>
      <c r="R206" s="167">
        <v>1.0</v>
      </c>
      <c r="S206" s="167">
        <v>1.0</v>
      </c>
      <c r="T206" s="168">
        <v>1.0</v>
      </c>
      <c r="U206" s="170">
        <f t="shared" si="40"/>
        <v>1</v>
      </c>
      <c r="V206" s="170">
        <f t="shared" si="41"/>
        <v>1</v>
      </c>
    </row>
    <row r="207">
      <c r="A207" s="163">
        <v>1230015.0</v>
      </c>
      <c r="B207" s="164" t="s">
        <v>507</v>
      </c>
      <c r="C207" s="165">
        <v>7.0</v>
      </c>
      <c r="D207" s="166">
        <v>1.0</v>
      </c>
      <c r="E207" s="167">
        <v>1.0</v>
      </c>
      <c r="F207" s="167">
        <v>1.0</v>
      </c>
      <c r="G207" s="167">
        <v>1.0</v>
      </c>
      <c r="H207" s="167">
        <v>1.0</v>
      </c>
      <c r="I207" s="168">
        <v>1.0</v>
      </c>
      <c r="J207" s="167">
        <v>1.0</v>
      </c>
      <c r="K207" s="167">
        <v>1.0</v>
      </c>
      <c r="L207" s="167">
        <v>1.0</v>
      </c>
      <c r="M207" s="167">
        <v>1.0</v>
      </c>
      <c r="N207" s="167">
        <v>1.0</v>
      </c>
      <c r="O207" s="169">
        <v>1.0</v>
      </c>
      <c r="P207" s="166">
        <v>1.0</v>
      </c>
      <c r="Q207" s="167">
        <v>1.0</v>
      </c>
      <c r="R207" s="167">
        <v>1.0</v>
      </c>
      <c r="S207" s="167">
        <v>1.0</v>
      </c>
      <c r="T207" s="168">
        <v>1.0</v>
      </c>
      <c r="U207" s="170">
        <f t="shared" si="40"/>
        <v>1</v>
      </c>
      <c r="V207" s="170">
        <f t="shared" si="41"/>
        <v>1</v>
      </c>
    </row>
    <row r="208">
      <c r="A208" s="163">
        <v>1230016.0</v>
      </c>
      <c r="B208" s="164" t="s">
        <v>495</v>
      </c>
      <c r="C208" s="165">
        <v>7.0</v>
      </c>
      <c r="D208" s="166">
        <v>1.0</v>
      </c>
      <c r="E208" s="167">
        <v>1.0</v>
      </c>
      <c r="F208" s="167">
        <v>1.0</v>
      </c>
      <c r="G208" s="167">
        <v>1.0</v>
      </c>
      <c r="H208" s="167">
        <v>1.0</v>
      </c>
      <c r="I208" s="168">
        <v>1.0</v>
      </c>
      <c r="J208" s="167">
        <v>1.0</v>
      </c>
      <c r="K208" s="167">
        <v>1.0</v>
      </c>
      <c r="L208" s="167">
        <v>1.0</v>
      </c>
      <c r="M208" s="167">
        <v>1.0</v>
      </c>
      <c r="N208" s="167">
        <v>1.0</v>
      </c>
      <c r="O208" s="169">
        <v>1.0</v>
      </c>
      <c r="P208" s="166">
        <v>1.0</v>
      </c>
      <c r="Q208" s="167">
        <v>1.0</v>
      </c>
      <c r="R208" s="167">
        <v>1.0</v>
      </c>
      <c r="S208" s="167">
        <v>1.0</v>
      </c>
      <c r="T208" s="168">
        <v>1.0</v>
      </c>
      <c r="U208" s="170">
        <f t="shared" si="40"/>
        <v>1</v>
      </c>
      <c r="V208" s="170">
        <f t="shared" si="41"/>
        <v>1</v>
      </c>
    </row>
    <row r="209">
      <c r="A209" s="163">
        <v>1230017.0</v>
      </c>
      <c r="B209" s="164" t="s">
        <v>497</v>
      </c>
      <c r="C209" s="165">
        <v>7.0</v>
      </c>
      <c r="D209" s="166">
        <v>1.0</v>
      </c>
      <c r="E209" s="167">
        <v>1.0</v>
      </c>
      <c r="F209" s="167">
        <v>1.0</v>
      </c>
      <c r="G209" s="167">
        <v>1.0</v>
      </c>
      <c r="H209" s="167">
        <v>1.0</v>
      </c>
      <c r="I209" s="168">
        <v>1.0</v>
      </c>
      <c r="J209" s="167">
        <v>1.0</v>
      </c>
      <c r="K209" s="167">
        <v>1.0</v>
      </c>
      <c r="L209" s="167">
        <v>1.0</v>
      </c>
      <c r="M209" s="167">
        <v>1.0</v>
      </c>
      <c r="N209" s="167">
        <v>1.0</v>
      </c>
      <c r="O209" s="169">
        <v>1.0</v>
      </c>
      <c r="P209" s="166">
        <v>1.0</v>
      </c>
      <c r="Q209" s="167">
        <v>1.0</v>
      </c>
      <c r="R209" s="167">
        <v>1.0</v>
      </c>
      <c r="S209" s="167">
        <v>1.0</v>
      </c>
      <c r="T209" s="168">
        <v>1.0</v>
      </c>
      <c r="U209" s="170">
        <f t="shared" si="40"/>
        <v>1</v>
      </c>
      <c r="V209" s="170">
        <f t="shared" si="41"/>
        <v>1</v>
      </c>
    </row>
    <row r="210">
      <c r="A210" s="205">
        <v>1230018.0</v>
      </c>
      <c r="B210" s="206" t="s">
        <v>211</v>
      </c>
      <c r="C210" s="207">
        <v>7.0</v>
      </c>
      <c r="D210" s="184"/>
      <c r="E210" s="167">
        <v>1.0</v>
      </c>
      <c r="F210" s="167">
        <v>1.0</v>
      </c>
      <c r="G210" s="178"/>
      <c r="H210" s="167">
        <v>1.0</v>
      </c>
      <c r="I210" s="168">
        <v>1.0</v>
      </c>
      <c r="J210" s="167">
        <v>1.0</v>
      </c>
      <c r="K210" s="167">
        <v>1.0</v>
      </c>
      <c r="L210" s="178"/>
      <c r="M210" s="178"/>
      <c r="N210" s="167">
        <v>1.0</v>
      </c>
      <c r="O210" s="169">
        <v>1.0</v>
      </c>
      <c r="P210" s="166">
        <v>1.0</v>
      </c>
      <c r="Q210" s="178"/>
      <c r="R210" s="167">
        <v>1.0</v>
      </c>
      <c r="S210" s="167">
        <v>1.0</v>
      </c>
      <c r="T210" s="168">
        <v>1.0</v>
      </c>
      <c r="U210" s="170">
        <f t="shared" si="40"/>
        <v>1</v>
      </c>
      <c r="V210" s="170">
        <f t="shared" si="41"/>
        <v>1</v>
      </c>
    </row>
    <row r="211">
      <c r="A211" s="205">
        <v>1230019.0</v>
      </c>
      <c r="B211" s="206" t="s">
        <v>52</v>
      </c>
      <c r="C211" s="207">
        <v>7.0</v>
      </c>
      <c r="D211" s="166">
        <v>1.0</v>
      </c>
      <c r="E211" s="167">
        <v>1.0</v>
      </c>
      <c r="F211" s="167">
        <v>1.0</v>
      </c>
      <c r="G211" s="167">
        <v>1.0</v>
      </c>
      <c r="H211" s="167">
        <v>1.0</v>
      </c>
      <c r="I211" s="168">
        <v>1.0</v>
      </c>
      <c r="J211" s="167">
        <v>1.0</v>
      </c>
      <c r="K211" s="167">
        <v>1.0</v>
      </c>
      <c r="L211" s="167">
        <v>1.0</v>
      </c>
      <c r="M211" s="167">
        <v>1.0</v>
      </c>
      <c r="N211" s="167">
        <v>1.0</v>
      </c>
      <c r="O211" s="169">
        <v>1.0</v>
      </c>
      <c r="P211" s="166">
        <v>1.0</v>
      </c>
      <c r="Q211" s="167">
        <v>1.0</v>
      </c>
      <c r="R211" s="167">
        <v>1.0</v>
      </c>
      <c r="S211" s="167">
        <v>1.0</v>
      </c>
      <c r="T211" s="168">
        <v>1.0</v>
      </c>
      <c r="U211" s="170">
        <f t="shared" si="40"/>
        <v>1</v>
      </c>
      <c r="V211" s="170">
        <f t="shared" si="41"/>
        <v>1</v>
      </c>
    </row>
    <row r="212">
      <c r="A212" s="199">
        <v>1240000.0</v>
      </c>
      <c r="B212" s="200" t="s">
        <v>1774</v>
      </c>
      <c r="C212" s="151">
        <v>3.0</v>
      </c>
      <c r="D212" s="201"/>
      <c r="E212" s="202"/>
      <c r="F212" s="202"/>
      <c r="G212" s="202"/>
      <c r="H212" s="202"/>
      <c r="I212" s="203"/>
      <c r="J212" s="202"/>
      <c r="K212" s="202"/>
      <c r="L212" s="202"/>
      <c r="M212" s="202"/>
      <c r="N212" s="202"/>
      <c r="O212" s="204"/>
      <c r="P212" s="201"/>
      <c r="Q212" s="202"/>
      <c r="R212" s="202"/>
      <c r="S212" s="202"/>
      <c r="T212" s="203"/>
    </row>
    <row r="213">
      <c r="A213" s="163">
        <v>1240001.0</v>
      </c>
      <c r="B213" s="164" t="s">
        <v>561</v>
      </c>
      <c r="C213" s="165">
        <v>7.0</v>
      </c>
      <c r="D213" s="166">
        <v>1.0</v>
      </c>
      <c r="E213" s="167">
        <v>1.0</v>
      </c>
      <c r="F213" s="167">
        <v>1.0</v>
      </c>
      <c r="G213" s="167">
        <v>1.0</v>
      </c>
      <c r="H213" s="167">
        <v>1.0</v>
      </c>
      <c r="I213" s="168">
        <v>1.0</v>
      </c>
      <c r="J213" s="167">
        <v>1.0</v>
      </c>
      <c r="K213" s="167">
        <v>1.0</v>
      </c>
      <c r="L213" s="167">
        <v>1.0</v>
      </c>
      <c r="M213" s="167">
        <v>1.0</v>
      </c>
      <c r="N213" s="167">
        <v>1.0</v>
      </c>
      <c r="O213" s="169">
        <v>1.0</v>
      </c>
      <c r="P213" s="166">
        <v>1.0</v>
      </c>
      <c r="Q213" s="167">
        <v>1.0</v>
      </c>
      <c r="R213" s="167">
        <v>1.0</v>
      </c>
      <c r="S213" s="167">
        <v>1.0</v>
      </c>
      <c r="T213" s="168">
        <v>1.0</v>
      </c>
      <c r="U213" s="170">
        <f t="shared" ref="U213:U222" si="42">if(I213+O213&gt;0,1,"")</f>
        <v>1</v>
      </c>
      <c r="V213" s="170">
        <f t="shared" ref="V213:V222" si="43">if(T213&gt;0,1,"")</f>
        <v>1</v>
      </c>
    </row>
    <row r="214">
      <c r="A214" s="163">
        <v>1240002.0</v>
      </c>
      <c r="B214" s="164" t="s">
        <v>563</v>
      </c>
      <c r="C214" s="165">
        <v>7.0</v>
      </c>
      <c r="D214" s="166">
        <v>1.0</v>
      </c>
      <c r="E214" s="167">
        <v>1.0</v>
      </c>
      <c r="F214" s="167">
        <v>1.0</v>
      </c>
      <c r="G214" s="167">
        <v>1.0</v>
      </c>
      <c r="H214" s="167">
        <v>1.0</v>
      </c>
      <c r="I214" s="168">
        <v>1.0</v>
      </c>
      <c r="J214" s="167">
        <v>1.0</v>
      </c>
      <c r="K214" s="167">
        <v>1.0</v>
      </c>
      <c r="L214" s="167">
        <v>1.0</v>
      </c>
      <c r="M214" s="167">
        <v>1.0</v>
      </c>
      <c r="N214" s="167">
        <v>1.0</v>
      </c>
      <c r="O214" s="169">
        <v>1.0</v>
      </c>
      <c r="P214" s="166">
        <v>1.0</v>
      </c>
      <c r="Q214" s="167">
        <v>1.0</v>
      </c>
      <c r="R214" s="167">
        <v>1.0</v>
      </c>
      <c r="S214" s="167">
        <v>1.0</v>
      </c>
      <c r="T214" s="168">
        <v>1.0</v>
      </c>
      <c r="U214" s="170">
        <f t="shared" si="42"/>
        <v>1</v>
      </c>
      <c r="V214" s="170">
        <f t="shared" si="43"/>
        <v>1</v>
      </c>
    </row>
    <row r="215">
      <c r="A215" s="205">
        <v>1240003.0</v>
      </c>
      <c r="B215" s="206" t="s">
        <v>565</v>
      </c>
      <c r="C215" s="165">
        <v>7.0</v>
      </c>
      <c r="D215" s="166">
        <v>1.0</v>
      </c>
      <c r="E215" s="167">
        <v>1.0</v>
      </c>
      <c r="F215" s="167">
        <v>1.0</v>
      </c>
      <c r="G215" s="167">
        <v>1.0</v>
      </c>
      <c r="H215" s="167">
        <v>1.0</v>
      </c>
      <c r="I215" s="168">
        <v>1.0</v>
      </c>
      <c r="J215" s="167">
        <v>1.0</v>
      </c>
      <c r="K215" s="167">
        <v>1.0</v>
      </c>
      <c r="L215" s="167">
        <v>1.0</v>
      </c>
      <c r="M215" s="167">
        <v>1.0</v>
      </c>
      <c r="N215" s="167">
        <v>1.0</v>
      </c>
      <c r="O215" s="169">
        <v>1.0</v>
      </c>
      <c r="P215" s="166">
        <v>1.0</v>
      </c>
      <c r="Q215" s="167">
        <v>1.0</v>
      </c>
      <c r="R215" s="167">
        <v>1.0</v>
      </c>
      <c r="S215" s="167">
        <v>1.0</v>
      </c>
      <c r="T215" s="168">
        <v>1.0</v>
      </c>
      <c r="U215" s="170">
        <f t="shared" si="42"/>
        <v>1</v>
      </c>
      <c r="V215" s="170">
        <f t="shared" si="43"/>
        <v>1</v>
      </c>
    </row>
    <row r="216">
      <c r="A216" s="163">
        <v>1240004.0</v>
      </c>
      <c r="B216" s="164" t="s">
        <v>567</v>
      </c>
      <c r="C216" s="165">
        <v>7.0</v>
      </c>
      <c r="D216" s="166">
        <v>1.0</v>
      </c>
      <c r="E216" s="167">
        <v>1.0</v>
      </c>
      <c r="F216" s="167">
        <v>1.0</v>
      </c>
      <c r="G216" s="167">
        <v>1.0</v>
      </c>
      <c r="H216" s="167">
        <v>1.0</v>
      </c>
      <c r="I216" s="168">
        <v>1.0</v>
      </c>
      <c r="J216" s="167">
        <v>1.0</v>
      </c>
      <c r="K216" s="167">
        <v>1.0</v>
      </c>
      <c r="L216" s="167">
        <v>1.0</v>
      </c>
      <c r="M216" s="167">
        <v>1.0</v>
      </c>
      <c r="N216" s="167">
        <v>1.0</v>
      </c>
      <c r="O216" s="169">
        <v>1.0</v>
      </c>
      <c r="P216" s="166">
        <v>1.0</v>
      </c>
      <c r="Q216" s="167">
        <v>1.0</v>
      </c>
      <c r="R216" s="167">
        <v>1.0</v>
      </c>
      <c r="S216" s="167">
        <v>1.0</v>
      </c>
      <c r="T216" s="168">
        <v>1.0</v>
      </c>
      <c r="U216" s="170">
        <f t="shared" si="42"/>
        <v>1</v>
      </c>
      <c r="V216" s="170">
        <f t="shared" si="43"/>
        <v>1</v>
      </c>
    </row>
    <row r="217">
      <c r="A217" s="163">
        <v>1240005.0</v>
      </c>
      <c r="B217" s="164" t="s">
        <v>569</v>
      </c>
      <c r="C217" s="165">
        <v>7.0</v>
      </c>
      <c r="D217" s="166">
        <v>1.0</v>
      </c>
      <c r="E217" s="167">
        <v>1.0</v>
      </c>
      <c r="F217" s="167">
        <v>1.0</v>
      </c>
      <c r="G217" s="167">
        <v>1.0</v>
      </c>
      <c r="H217" s="167">
        <v>1.0</v>
      </c>
      <c r="I217" s="168">
        <v>1.0</v>
      </c>
      <c r="J217" s="167">
        <v>1.0</v>
      </c>
      <c r="K217" s="167">
        <v>1.0</v>
      </c>
      <c r="L217" s="167">
        <v>1.0</v>
      </c>
      <c r="M217" s="167">
        <v>1.0</v>
      </c>
      <c r="N217" s="167">
        <v>1.0</v>
      </c>
      <c r="O217" s="169">
        <v>1.0</v>
      </c>
      <c r="P217" s="166">
        <v>1.0</v>
      </c>
      <c r="Q217" s="167">
        <v>1.0</v>
      </c>
      <c r="R217" s="167">
        <v>1.0</v>
      </c>
      <c r="S217" s="167">
        <v>1.0</v>
      </c>
      <c r="T217" s="168">
        <v>1.0</v>
      </c>
      <c r="U217" s="170">
        <f t="shared" si="42"/>
        <v>1</v>
      </c>
      <c r="V217" s="170">
        <f t="shared" si="43"/>
        <v>1</v>
      </c>
    </row>
    <row r="218">
      <c r="A218" s="163">
        <v>1240006.0</v>
      </c>
      <c r="B218" s="164" t="s">
        <v>571</v>
      </c>
      <c r="C218" s="165">
        <v>7.0</v>
      </c>
      <c r="D218" s="166">
        <v>1.0</v>
      </c>
      <c r="E218" s="167">
        <v>1.0</v>
      </c>
      <c r="F218" s="167">
        <v>1.0</v>
      </c>
      <c r="G218" s="167">
        <v>1.0</v>
      </c>
      <c r="H218" s="167">
        <v>1.0</v>
      </c>
      <c r="I218" s="168">
        <v>1.0</v>
      </c>
      <c r="J218" s="167">
        <v>1.0</v>
      </c>
      <c r="K218" s="167">
        <v>1.0</v>
      </c>
      <c r="L218" s="167">
        <v>1.0</v>
      </c>
      <c r="M218" s="167">
        <v>1.0</v>
      </c>
      <c r="N218" s="167">
        <v>1.0</v>
      </c>
      <c r="O218" s="169">
        <v>1.0</v>
      </c>
      <c r="P218" s="166">
        <v>1.0</v>
      </c>
      <c r="Q218" s="167">
        <v>1.0</v>
      </c>
      <c r="R218" s="167">
        <v>1.0</v>
      </c>
      <c r="S218" s="167">
        <v>1.0</v>
      </c>
      <c r="T218" s="168">
        <v>1.0</v>
      </c>
      <c r="U218" s="170">
        <f t="shared" si="42"/>
        <v>1</v>
      </c>
      <c r="V218" s="170">
        <f t="shared" si="43"/>
        <v>1</v>
      </c>
    </row>
    <row r="219">
      <c r="A219" s="163">
        <v>1240007.0</v>
      </c>
      <c r="B219" s="164" t="s">
        <v>573</v>
      </c>
      <c r="C219" s="165">
        <v>7.0</v>
      </c>
      <c r="D219" s="166">
        <v>1.0</v>
      </c>
      <c r="E219" s="167">
        <v>1.0</v>
      </c>
      <c r="F219" s="167">
        <v>1.0</v>
      </c>
      <c r="G219" s="167">
        <v>1.0</v>
      </c>
      <c r="H219" s="167">
        <v>1.0</v>
      </c>
      <c r="I219" s="168">
        <v>1.0</v>
      </c>
      <c r="J219" s="178"/>
      <c r="K219" s="167">
        <v>1.0</v>
      </c>
      <c r="L219" s="167">
        <v>1.0</v>
      </c>
      <c r="M219" s="167">
        <v>1.0</v>
      </c>
      <c r="N219" s="167">
        <v>1.0</v>
      </c>
      <c r="O219" s="169">
        <v>1.0</v>
      </c>
      <c r="P219" s="166">
        <v>1.0</v>
      </c>
      <c r="Q219" s="167">
        <v>1.0</v>
      </c>
      <c r="R219" s="167">
        <v>1.0</v>
      </c>
      <c r="S219" s="167">
        <v>1.0</v>
      </c>
      <c r="T219" s="168">
        <v>1.0</v>
      </c>
      <c r="U219" s="170">
        <f t="shared" si="42"/>
        <v>1</v>
      </c>
      <c r="V219" s="170">
        <f t="shared" si="43"/>
        <v>1</v>
      </c>
    </row>
    <row r="220">
      <c r="A220" s="163">
        <v>1240008.0</v>
      </c>
      <c r="B220" s="164" t="s">
        <v>575</v>
      </c>
      <c r="C220" s="165">
        <v>7.0</v>
      </c>
      <c r="D220" s="166">
        <v>1.0</v>
      </c>
      <c r="E220" s="167">
        <v>1.0</v>
      </c>
      <c r="F220" s="167">
        <v>1.0</v>
      </c>
      <c r="G220" s="167">
        <v>1.0</v>
      </c>
      <c r="H220" s="167">
        <v>1.0</v>
      </c>
      <c r="I220" s="168">
        <v>1.0</v>
      </c>
      <c r="J220" s="167">
        <v>1.0</v>
      </c>
      <c r="K220" s="167">
        <v>1.0</v>
      </c>
      <c r="L220" s="167">
        <v>1.0</v>
      </c>
      <c r="M220" s="167">
        <v>1.0</v>
      </c>
      <c r="N220" s="167">
        <v>1.0</v>
      </c>
      <c r="O220" s="169">
        <v>1.0</v>
      </c>
      <c r="P220" s="166">
        <v>1.0</v>
      </c>
      <c r="Q220" s="167">
        <v>1.0</v>
      </c>
      <c r="R220" s="167">
        <v>1.0</v>
      </c>
      <c r="S220" s="167">
        <v>1.0</v>
      </c>
      <c r="T220" s="168">
        <v>1.0</v>
      </c>
      <c r="U220" s="170">
        <f t="shared" si="42"/>
        <v>1</v>
      </c>
      <c r="V220" s="170">
        <f t="shared" si="43"/>
        <v>1</v>
      </c>
    </row>
    <row r="221">
      <c r="A221" s="163">
        <v>1240009.0</v>
      </c>
      <c r="B221" s="164" t="s">
        <v>577</v>
      </c>
      <c r="C221" s="165">
        <v>7.0</v>
      </c>
      <c r="D221" s="166">
        <v>1.0</v>
      </c>
      <c r="E221" s="167">
        <v>1.0</v>
      </c>
      <c r="F221" s="167">
        <v>1.0</v>
      </c>
      <c r="G221" s="167">
        <v>1.0</v>
      </c>
      <c r="H221" s="167">
        <v>1.0</v>
      </c>
      <c r="I221" s="168">
        <v>1.0</v>
      </c>
      <c r="J221" s="167">
        <v>1.0</v>
      </c>
      <c r="K221" s="167">
        <v>1.0</v>
      </c>
      <c r="L221" s="167">
        <v>1.0</v>
      </c>
      <c r="M221" s="167">
        <v>1.0</v>
      </c>
      <c r="N221" s="167">
        <v>1.0</v>
      </c>
      <c r="O221" s="169">
        <v>1.0</v>
      </c>
      <c r="P221" s="166">
        <v>1.0</v>
      </c>
      <c r="Q221" s="167">
        <v>1.0</v>
      </c>
      <c r="R221" s="167">
        <v>1.0</v>
      </c>
      <c r="S221" s="167">
        <v>1.0</v>
      </c>
      <c r="T221" s="168">
        <v>1.0</v>
      </c>
      <c r="U221" s="170">
        <f t="shared" si="42"/>
        <v>1</v>
      </c>
      <c r="V221" s="170">
        <f t="shared" si="43"/>
        <v>1</v>
      </c>
    </row>
    <row r="222">
      <c r="A222" s="163">
        <v>1240010.0</v>
      </c>
      <c r="B222" s="164" t="s">
        <v>579</v>
      </c>
      <c r="C222" s="165">
        <v>7.0</v>
      </c>
      <c r="D222" s="166">
        <v>1.0</v>
      </c>
      <c r="E222" s="167">
        <v>1.0</v>
      </c>
      <c r="F222" s="167">
        <v>1.0</v>
      </c>
      <c r="G222" s="167">
        <v>1.0</v>
      </c>
      <c r="H222" s="167">
        <v>1.0</v>
      </c>
      <c r="I222" s="168">
        <v>1.0</v>
      </c>
      <c r="J222" s="167">
        <v>1.0</v>
      </c>
      <c r="K222" s="167">
        <v>1.0</v>
      </c>
      <c r="L222" s="167">
        <v>1.0</v>
      </c>
      <c r="M222" s="167">
        <v>1.0</v>
      </c>
      <c r="N222" s="167">
        <v>1.0</v>
      </c>
      <c r="O222" s="169">
        <v>1.0</v>
      </c>
      <c r="P222" s="166">
        <v>1.0</v>
      </c>
      <c r="Q222" s="167">
        <v>1.0</v>
      </c>
      <c r="R222" s="167">
        <v>1.0</v>
      </c>
      <c r="S222" s="167">
        <v>1.0</v>
      </c>
      <c r="T222" s="168">
        <v>1.0</v>
      </c>
      <c r="U222" s="170">
        <f t="shared" si="42"/>
        <v>1</v>
      </c>
      <c r="V222" s="170">
        <f t="shared" si="43"/>
        <v>1</v>
      </c>
    </row>
    <row r="223">
      <c r="A223" s="199">
        <v>1250000.0</v>
      </c>
      <c r="B223" s="200" t="s">
        <v>1775</v>
      </c>
      <c r="C223" s="151">
        <v>3.0</v>
      </c>
      <c r="D223" s="201"/>
      <c r="E223" s="202"/>
      <c r="F223" s="202"/>
      <c r="G223" s="202"/>
      <c r="H223" s="202"/>
      <c r="I223" s="203"/>
      <c r="J223" s="202"/>
      <c r="K223" s="202"/>
      <c r="L223" s="202"/>
      <c r="M223" s="202"/>
      <c r="N223" s="202"/>
      <c r="O223" s="204"/>
      <c r="P223" s="201"/>
      <c r="Q223" s="202"/>
      <c r="R223" s="202"/>
      <c r="S223" s="202"/>
      <c r="T223" s="203"/>
    </row>
    <row r="224">
      <c r="A224" s="163">
        <v>1250001.0</v>
      </c>
      <c r="B224" s="164" t="s">
        <v>523</v>
      </c>
      <c r="C224" s="165">
        <v>7.0</v>
      </c>
      <c r="D224" s="166">
        <v>1.0</v>
      </c>
      <c r="E224" s="167">
        <v>1.0</v>
      </c>
      <c r="F224" s="167">
        <v>1.0</v>
      </c>
      <c r="G224" s="167">
        <v>1.0</v>
      </c>
      <c r="H224" s="167">
        <v>1.0</v>
      </c>
      <c r="I224" s="168">
        <v>1.0</v>
      </c>
      <c r="J224" s="167">
        <v>1.0</v>
      </c>
      <c r="K224" s="167">
        <v>1.0</v>
      </c>
      <c r="L224" s="167">
        <v>1.0</v>
      </c>
      <c r="M224" s="167">
        <v>1.0</v>
      </c>
      <c r="N224" s="167">
        <v>1.0</v>
      </c>
      <c r="O224" s="169">
        <v>1.0</v>
      </c>
      <c r="P224" s="166">
        <v>1.0</v>
      </c>
      <c r="Q224" s="167">
        <v>1.0</v>
      </c>
      <c r="R224" s="167">
        <v>1.0</v>
      </c>
      <c r="S224" s="167">
        <v>1.0</v>
      </c>
      <c r="T224" s="168">
        <v>1.0</v>
      </c>
      <c r="U224" s="170">
        <f t="shared" ref="U224:U225" si="44">if(I224+O224&gt;0,1,"")</f>
        <v>1</v>
      </c>
      <c r="V224" s="170">
        <f t="shared" ref="V224:V225" si="45">if(T224&gt;0,1,"")</f>
        <v>1</v>
      </c>
    </row>
    <row r="225">
      <c r="A225" s="163">
        <v>1250002.0</v>
      </c>
      <c r="B225" s="164" t="s">
        <v>505</v>
      </c>
      <c r="C225" s="165">
        <v>7.0</v>
      </c>
      <c r="D225" s="166">
        <v>1.0</v>
      </c>
      <c r="E225" s="167">
        <v>1.0</v>
      </c>
      <c r="F225" s="167">
        <v>1.0</v>
      </c>
      <c r="G225" s="167">
        <v>1.0</v>
      </c>
      <c r="H225" s="167">
        <v>1.0</v>
      </c>
      <c r="I225" s="168">
        <v>1.0</v>
      </c>
      <c r="J225" s="167">
        <v>1.0</v>
      </c>
      <c r="K225" s="167">
        <v>1.0</v>
      </c>
      <c r="L225" s="167">
        <v>1.0</v>
      </c>
      <c r="M225" s="167">
        <v>1.0</v>
      </c>
      <c r="N225" s="167">
        <v>1.0</v>
      </c>
      <c r="O225" s="169">
        <v>1.0</v>
      </c>
      <c r="P225" s="166">
        <v>1.0</v>
      </c>
      <c r="Q225" s="167">
        <v>1.0</v>
      </c>
      <c r="R225" s="167">
        <v>1.0</v>
      </c>
      <c r="S225" s="167">
        <v>1.0</v>
      </c>
      <c r="T225" s="168">
        <v>1.0</v>
      </c>
      <c r="U225" s="170">
        <f t="shared" si="44"/>
        <v>1</v>
      </c>
      <c r="V225" s="170">
        <f t="shared" si="45"/>
        <v>1</v>
      </c>
    </row>
    <row r="226">
      <c r="A226" s="136">
        <v>2000000.0</v>
      </c>
      <c r="B226" s="137" t="s">
        <v>1776</v>
      </c>
      <c r="C226" s="131">
        <v>1.0</v>
      </c>
      <c r="D226" s="138"/>
      <c r="E226" s="139"/>
      <c r="F226" s="139"/>
      <c r="G226" s="139"/>
      <c r="H226" s="139"/>
      <c r="I226" s="140"/>
      <c r="J226" s="139"/>
      <c r="K226" s="139"/>
      <c r="L226" s="139"/>
      <c r="M226" s="139"/>
      <c r="N226" s="139"/>
      <c r="O226" s="141"/>
      <c r="P226" s="138"/>
      <c r="Q226" s="139"/>
      <c r="R226" s="139"/>
      <c r="S226" s="139"/>
      <c r="T226" s="140"/>
    </row>
    <row r="227">
      <c r="A227" s="142">
        <v>2100000.0</v>
      </c>
      <c r="B227" s="143" t="s">
        <v>1777</v>
      </c>
      <c r="C227" s="144">
        <v>2.0</v>
      </c>
      <c r="D227" s="145"/>
      <c r="E227" s="146"/>
      <c r="F227" s="146"/>
      <c r="G227" s="146"/>
      <c r="H227" s="146"/>
      <c r="I227" s="147"/>
      <c r="J227" s="146"/>
      <c r="K227" s="146"/>
      <c r="L227" s="146"/>
      <c r="M227" s="146"/>
      <c r="N227" s="146"/>
      <c r="O227" s="148"/>
      <c r="P227" s="145"/>
      <c r="Q227" s="146"/>
      <c r="R227" s="146"/>
      <c r="S227" s="146"/>
      <c r="T227" s="147"/>
    </row>
    <row r="228">
      <c r="A228" s="149">
        <v>2110000.0</v>
      </c>
      <c r="B228" s="150" t="s">
        <v>1778</v>
      </c>
      <c r="C228" s="151">
        <v>3.0</v>
      </c>
      <c r="D228" s="152"/>
      <c r="E228" s="153"/>
      <c r="F228" s="153"/>
      <c r="G228" s="153"/>
      <c r="H228" s="153"/>
      <c r="I228" s="154"/>
      <c r="J228" s="153"/>
      <c r="K228" s="153"/>
      <c r="L228" s="153"/>
      <c r="M228" s="153"/>
      <c r="N228" s="153"/>
      <c r="O228" s="155"/>
      <c r="P228" s="152"/>
      <c r="Q228" s="153"/>
      <c r="R228" s="153"/>
      <c r="S228" s="153"/>
      <c r="T228" s="154"/>
    </row>
    <row r="229">
      <c r="A229" s="156">
        <v>2112000.0</v>
      </c>
      <c r="B229" s="157" t="s">
        <v>1779</v>
      </c>
      <c r="C229" s="158">
        <v>4.0</v>
      </c>
      <c r="D229" s="159"/>
      <c r="E229" s="160"/>
      <c r="F229" s="160"/>
      <c r="G229" s="160"/>
      <c r="H229" s="160"/>
      <c r="I229" s="161"/>
      <c r="J229" s="160"/>
      <c r="K229" s="160"/>
      <c r="L229" s="160"/>
      <c r="M229" s="160"/>
      <c r="N229" s="160"/>
      <c r="O229" s="162"/>
      <c r="P229" s="159"/>
      <c r="Q229" s="160"/>
      <c r="R229" s="160"/>
      <c r="S229" s="160"/>
      <c r="T229" s="161"/>
    </row>
    <row r="230">
      <c r="A230" s="163">
        <v>2112002.0</v>
      </c>
      <c r="B230" s="164" t="s">
        <v>589</v>
      </c>
      <c r="C230" s="165">
        <v>7.0</v>
      </c>
      <c r="D230" s="166">
        <v>1.0</v>
      </c>
      <c r="E230" s="167">
        <v>1.0</v>
      </c>
      <c r="F230" s="167">
        <v>1.0</v>
      </c>
      <c r="G230" s="167">
        <v>1.0</v>
      </c>
      <c r="H230" s="167">
        <v>1.0</v>
      </c>
      <c r="I230" s="168">
        <v>1.0</v>
      </c>
      <c r="J230" s="167">
        <v>1.0</v>
      </c>
      <c r="K230" s="167">
        <v>1.0</v>
      </c>
      <c r="L230" s="167">
        <v>1.0</v>
      </c>
      <c r="M230" s="167">
        <v>1.0</v>
      </c>
      <c r="N230" s="167">
        <v>1.0</v>
      </c>
      <c r="O230" s="169">
        <v>1.0</v>
      </c>
      <c r="P230" s="166">
        <v>1.0</v>
      </c>
      <c r="Q230" s="167">
        <v>1.0</v>
      </c>
      <c r="R230" s="167">
        <v>1.0</v>
      </c>
      <c r="S230" s="167">
        <v>1.0</v>
      </c>
      <c r="T230" s="168">
        <v>1.0</v>
      </c>
      <c r="U230" s="170">
        <f t="shared" ref="U230:U232" si="46">if(I230+O230&gt;0,1,"")</f>
        <v>1</v>
      </c>
      <c r="V230" s="170">
        <f t="shared" ref="V230:V232" si="47">if(T230&gt;0,1,"")</f>
        <v>1</v>
      </c>
    </row>
    <row r="231">
      <c r="A231" s="163">
        <v>2112003.0</v>
      </c>
      <c r="B231" s="164" t="s">
        <v>592</v>
      </c>
      <c r="C231" s="165">
        <v>7.0</v>
      </c>
      <c r="D231" s="166">
        <v>1.0</v>
      </c>
      <c r="E231" s="167">
        <v>1.0</v>
      </c>
      <c r="F231" s="167">
        <v>1.0</v>
      </c>
      <c r="G231" s="167">
        <v>1.0</v>
      </c>
      <c r="H231" s="167">
        <v>1.0</v>
      </c>
      <c r="I231" s="168">
        <v>1.0</v>
      </c>
      <c r="J231" s="178"/>
      <c r="K231" s="178"/>
      <c r="L231" s="178"/>
      <c r="M231" s="178"/>
      <c r="N231" s="178"/>
      <c r="O231" s="179"/>
      <c r="P231" s="166">
        <v>1.0</v>
      </c>
      <c r="Q231" s="167">
        <v>1.0</v>
      </c>
      <c r="R231" s="167">
        <v>1.0</v>
      </c>
      <c r="S231" s="167">
        <v>1.0</v>
      </c>
      <c r="T231" s="168">
        <v>1.0</v>
      </c>
      <c r="U231" s="170">
        <f t="shared" si="46"/>
        <v>1</v>
      </c>
      <c r="V231" s="170">
        <f t="shared" si="47"/>
        <v>1</v>
      </c>
    </row>
    <row r="232">
      <c r="A232" s="163">
        <v>2112004.0</v>
      </c>
      <c r="B232" s="164" t="s">
        <v>594</v>
      </c>
      <c r="C232" s="165">
        <v>7.0</v>
      </c>
      <c r="D232" s="166">
        <v>1.0</v>
      </c>
      <c r="E232" s="167">
        <v>1.0</v>
      </c>
      <c r="F232" s="167">
        <v>1.0</v>
      </c>
      <c r="G232" s="167">
        <v>1.0</v>
      </c>
      <c r="H232" s="167">
        <v>1.0</v>
      </c>
      <c r="I232" s="168">
        <v>1.0</v>
      </c>
      <c r="J232" s="167">
        <v>1.0</v>
      </c>
      <c r="K232" s="167">
        <v>1.0</v>
      </c>
      <c r="L232" s="167">
        <v>1.0</v>
      </c>
      <c r="M232" s="167">
        <v>1.0</v>
      </c>
      <c r="N232" s="167">
        <v>1.0</v>
      </c>
      <c r="O232" s="169">
        <v>1.0</v>
      </c>
      <c r="P232" s="166">
        <v>1.0</v>
      </c>
      <c r="Q232" s="167">
        <v>1.0</v>
      </c>
      <c r="R232" s="167">
        <v>1.0</v>
      </c>
      <c r="S232" s="167">
        <v>1.0</v>
      </c>
      <c r="T232" s="168">
        <v>1.0</v>
      </c>
      <c r="U232" s="170">
        <f t="shared" si="46"/>
        <v>1</v>
      </c>
      <c r="V232" s="170">
        <f t="shared" si="47"/>
        <v>1</v>
      </c>
    </row>
    <row r="233">
      <c r="A233" s="156">
        <v>2113000.0</v>
      </c>
      <c r="B233" s="157" t="s">
        <v>1780</v>
      </c>
      <c r="C233" s="158">
        <v>4.0</v>
      </c>
      <c r="D233" s="159"/>
      <c r="E233" s="160"/>
      <c r="F233" s="160"/>
      <c r="G233" s="160"/>
      <c r="H233" s="160"/>
      <c r="I233" s="161"/>
      <c r="J233" s="160"/>
      <c r="K233" s="160"/>
      <c r="L233" s="160"/>
      <c r="M233" s="160"/>
      <c r="N233" s="160"/>
      <c r="O233" s="162"/>
      <c r="P233" s="159"/>
      <c r="Q233" s="160"/>
      <c r="R233" s="160"/>
      <c r="S233" s="160"/>
      <c r="T233" s="161"/>
    </row>
    <row r="234">
      <c r="A234" s="163">
        <v>2113001.0</v>
      </c>
      <c r="B234" s="164" t="s">
        <v>596</v>
      </c>
      <c r="C234" s="165">
        <v>7.0</v>
      </c>
      <c r="D234" s="166">
        <v>1.0</v>
      </c>
      <c r="E234" s="167">
        <v>1.0</v>
      </c>
      <c r="F234" s="167">
        <v>1.0</v>
      </c>
      <c r="G234" s="167">
        <v>1.0</v>
      </c>
      <c r="H234" s="167">
        <v>1.0</v>
      </c>
      <c r="I234" s="168">
        <v>1.0</v>
      </c>
      <c r="J234" s="178"/>
      <c r="K234" s="167">
        <v>1.0</v>
      </c>
      <c r="L234" s="167">
        <v>1.0</v>
      </c>
      <c r="M234" s="167">
        <v>1.0</v>
      </c>
      <c r="N234" s="178"/>
      <c r="O234" s="169">
        <v>1.0</v>
      </c>
      <c r="P234" s="166">
        <v>1.0</v>
      </c>
      <c r="Q234" s="167">
        <v>1.0</v>
      </c>
      <c r="R234" s="167">
        <v>1.0</v>
      </c>
      <c r="S234" s="167">
        <v>1.0</v>
      </c>
      <c r="T234" s="168">
        <v>1.0</v>
      </c>
      <c r="U234" s="170">
        <f t="shared" ref="U234:U238" si="48">if(I234+O234&gt;0,1,"")</f>
        <v>1</v>
      </c>
      <c r="V234" s="170">
        <f t="shared" ref="V234:V238" si="49">if(T234&gt;0,1,"")</f>
        <v>1</v>
      </c>
    </row>
    <row r="235">
      <c r="A235" s="163">
        <v>2113002.0</v>
      </c>
      <c r="B235" s="164" t="s">
        <v>599</v>
      </c>
      <c r="C235" s="165">
        <v>7.0</v>
      </c>
      <c r="D235" s="166">
        <v>1.0</v>
      </c>
      <c r="E235" s="167">
        <v>1.0</v>
      </c>
      <c r="F235" s="167">
        <v>1.0</v>
      </c>
      <c r="G235" s="167">
        <v>1.0</v>
      </c>
      <c r="H235" s="167">
        <v>1.0</v>
      </c>
      <c r="I235" s="168">
        <v>1.0</v>
      </c>
      <c r="J235" s="167">
        <v>1.0</v>
      </c>
      <c r="K235" s="167">
        <v>1.0</v>
      </c>
      <c r="L235" s="167">
        <v>1.0</v>
      </c>
      <c r="M235" s="167">
        <v>1.0</v>
      </c>
      <c r="N235" s="167">
        <v>1.0</v>
      </c>
      <c r="O235" s="169">
        <v>1.0</v>
      </c>
      <c r="P235" s="166">
        <v>1.0</v>
      </c>
      <c r="Q235" s="167">
        <v>1.0</v>
      </c>
      <c r="R235" s="167">
        <v>1.0</v>
      </c>
      <c r="S235" s="167">
        <v>1.0</v>
      </c>
      <c r="T235" s="168">
        <v>1.0</v>
      </c>
      <c r="U235" s="170">
        <f t="shared" si="48"/>
        <v>1</v>
      </c>
      <c r="V235" s="170">
        <f t="shared" si="49"/>
        <v>1</v>
      </c>
    </row>
    <row r="236">
      <c r="A236" s="163">
        <v>2113003.0</v>
      </c>
      <c r="B236" s="164" t="s">
        <v>601</v>
      </c>
      <c r="C236" s="165">
        <v>7.0</v>
      </c>
      <c r="D236" s="166">
        <v>1.0</v>
      </c>
      <c r="E236" s="178"/>
      <c r="F236" s="167">
        <v>1.0</v>
      </c>
      <c r="G236" s="178"/>
      <c r="H236" s="178"/>
      <c r="I236" s="168">
        <v>1.0</v>
      </c>
      <c r="J236" s="178"/>
      <c r="K236" s="178"/>
      <c r="L236" s="178"/>
      <c r="M236" s="178"/>
      <c r="N236" s="178"/>
      <c r="O236" s="179"/>
      <c r="P236" s="180"/>
      <c r="Q236" s="178"/>
      <c r="R236" s="178"/>
      <c r="S236" s="178"/>
      <c r="T236" s="181"/>
      <c r="U236" s="170">
        <f t="shared" si="48"/>
        <v>1</v>
      </c>
      <c r="V236" s="170" t="str">
        <f t="shared" si="49"/>
        <v/>
      </c>
    </row>
    <row r="237">
      <c r="A237" s="163">
        <v>2113004.0</v>
      </c>
      <c r="B237" s="164" t="s">
        <v>603</v>
      </c>
      <c r="C237" s="165">
        <v>7.0</v>
      </c>
      <c r="D237" s="166">
        <v>1.0</v>
      </c>
      <c r="E237" s="167">
        <v>1.0</v>
      </c>
      <c r="F237" s="167">
        <v>1.0</v>
      </c>
      <c r="G237" s="167">
        <v>1.0</v>
      </c>
      <c r="H237" s="167">
        <v>1.0</v>
      </c>
      <c r="I237" s="168">
        <v>1.0</v>
      </c>
      <c r="J237" s="167">
        <v>1.0</v>
      </c>
      <c r="K237" s="167">
        <v>1.0</v>
      </c>
      <c r="L237" s="167">
        <v>1.0</v>
      </c>
      <c r="M237" s="167">
        <v>1.0</v>
      </c>
      <c r="N237" s="167">
        <v>1.0</v>
      </c>
      <c r="O237" s="169">
        <v>1.0</v>
      </c>
      <c r="P237" s="166">
        <v>1.0</v>
      </c>
      <c r="Q237" s="167">
        <v>1.0</v>
      </c>
      <c r="R237" s="167">
        <v>1.0</v>
      </c>
      <c r="S237" s="167">
        <v>1.0</v>
      </c>
      <c r="T237" s="168">
        <v>1.0</v>
      </c>
      <c r="U237" s="170">
        <f t="shared" si="48"/>
        <v>1</v>
      </c>
      <c r="V237" s="170">
        <f t="shared" si="49"/>
        <v>1</v>
      </c>
    </row>
    <row r="238">
      <c r="A238" s="163">
        <v>2113005.0</v>
      </c>
      <c r="B238" s="164" t="s">
        <v>605</v>
      </c>
      <c r="C238" s="165">
        <v>7.0</v>
      </c>
      <c r="D238" s="166">
        <v>1.0</v>
      </c>
      <c r="E238" s="167">
        <v>1.0</v>
      </c>
      <c r="F238" s="167">
        <v>1.0</v>
      </c>
      <c r="G238" s="167">
        <v>1.0</v>
      </c>
      <c r="H238" s="167">
        <v>1.0</v>
      </c>
      <c r="I238" s="168">
        <v>1.0</v>
      </c>
      <c r="J238" s="167">
        <v>1.0</v>
      </c>
      <c r="K238" s="178"/>
      <c r="L238" s="167">
        <v>1.0</v>
      </c>
      <c r="M238" s="167">
        <v>1.0</v>
      </c>
      <c r="N238" s="167">
        <v>1.0</v>
      </c>
      <c r="O238" s="169">
        <v>1.0</v>
      </c>
      <c r="P238" s="166">
        <v>1.0</v>
      </c>
      <c r="Q238" s="167">
        <v>1.0</v>
      </c>
      <c r="R238" s="167">
        <v>1.0</v>
      </c>
      <c r="S238" s="167">
        <v>1.0</v>
      </c>
      <c r="T238" s="168">
        <v>1.0</v>
      </c>
      <c r="U238" s="170">
        <f t="shared" si="48"/>
        <v>1</v>
      </c>
      <c r="V238" s="170">
        <f t="shared" si="49"/>
        <v>1</v>
      </c>
    </row>
    <row r="239">
      <c r="A239" s="156">
        <v>2114000.0</v>
      </c>
      <c r="B239" s="157" t="s">
        <v>1781</v>
      </c>
      <c r="C239" s="158">
        <v>4.0</v>
      </c>
      <c r="D239" s="159"/>
      <c r="E239" s="160"/>
      <c r="F239" s="160"/>
      <c r="G239" s="160"/>
      <c r="H239" s="160"/>
      <c r="I239" s="161"/>
      <c r="J239" s="160"/>
      <c r="K239" s="160"/>
      <c r="L239" s="160"/>
      <c r="M239" s="160"/>
      <c r="N239" s="160"/>
      <c r="O239" s="162"/>
      <c r="P239" s="159"/>
      <c r="Q239" s="160"/>
      <c r="R239" s="160"/>
      <c r="S239" s="160"/>
      <c r="T239" s="161"/>
    </row>
    <row r="240">
      <c r="A240" s="163">
        <v>2114001.0</v>
      </c>
      <c r="B240" s="164" t="s">
        <v>611</v>
      </c>
      <c r="C240" s="165">
        <v>7.0</v>
      </c>
      <c r="D240" s="166">
        <v>1.0</v>
      </c>
      <c r="E240" s="167">
        <v>1.0</v>
      </c>
      <c r="F240" s="167">
        <v>1.0</v>
      </c>
      <c r="G240" s="167">
        <v>1.0</v>
      </c>
      <c r="H240" s="167">
        <v>1.0</v>
      </c>
      <c r="I240" s="168">
        <v>1.0</v>
      </c>
      <c r="J240" s="167">
        <v>1.0</v>
      </c>
      <c r="K240" s="167">
        <v>1.0</v>
      </c>
      <c r="L240" s="167">
        <v>1.0</v>
      </c>
      <c r="M240" s="167">
        <v>1.0</v>
      </c>
      <c r="N240" s="167">
        <v>1.0</v>
      </c>
      <c r="O240" s="169">
        <v>1.0</v>
      </c>
      <c r="P240" s="166">
        <v>1.0</v>
      </c>
      <c r="Q240" s="167">
        <v>1.0</v>
      </c>
      <c r="R240" s="167">
        <v>1.0</v>
      </c>
      <c r="S240" s="167">
        <v>1.0</v>
      </c>
      <c r="T240" s="168">
        <v>1.0</v>
      </c>
      <c r="U240" s="170">
        <f t="shared" ref="U240:U241" si="50">if(I240+O240&gt;0,1,"")</f>
        <v>1</v>
      </c>
      <c r="V240" s="170">
        <f t="shared" ref="V240:V241" si="51">if(T240&gt;0,1,"")</f>
        <v>1</v>
      </c>
    </row>
    <row r="241">
      <c r="A241" s="163">
        <v>2114002.0</v>
      </c>
      <c r="B241" s="164" t="s">
        <v>613</v>
      </c>
      <c r="C241" s="165">
        <v>7.0</v>
      </c>
      <c r="D241" s="166">
        <v>1.0</v>
      </c>
      <c r="E241" s="167">
        <v>1.0</v>
      </c>
      <c r="F241" s="167">
        <v>1.0</v>
      </c>
      <c r="G241" s="167">
        <v>1.0</v>
      </c>
      <c r="H241" s="167">
        <v>1.0</v>
      </c>
      <c r="I241" s="168">
        <v>1.0</v>
      </c>
      <c r="J241" s="167">
        <v>1.0</v>
      </c>
      <c r="K241" s="167">
        <v>1.0</v>
      </c>
      <c r="L241" s="167">
        <v>1.0</v>
      </c>
      <c r="M241" s="167">
        <v>1.0</v>
      </c>
      <c r="N241" s="167">
        <v>1.0</v>
      </c>
      <c r="O241" s="169">
        <v>1.0</v>
      </c>
      <c r="P241" s="166">
        <v>1.0</v>
      </c>
      <c r="Q241" s="167">
        <v>1.0</v>
      </c>
      <c r="R241" s="167">
        <v>1.0</v>
      </c>
      <c r="S241" s="167">
        <v>1.0</v>
      </c>
      <c r="T241" s="168">
        <v>1.0</v>
      </c>
      <c r="U241" s="170">
        <f t="shared" si="50"/>
        <v>1</v>
      </c>
      <c r="V241" s="170">
        <f t="shared" si="51"/>
        <v>1</v>
      </c>
    </row>
    <row r="242">
      <c r="A242" s="156">
        <v>2115000.0</v>
      </c>
      <c r="B242" s="157" t="s">
        <v>1782</v>
      </c>
      <c r="C242" s="158">
        <v>4.0</v>
      </c>
      <c r="D242" s="159"/>
      <c r="E242" s="160"/>
      <c r="F242" s="160"/>
      <c r="G242" s="160"/>
      <c r="H242" s="160"/>
      <c r="I242" s="161"/>
      <c r="J242" s="160"/>
      <c r="K242" s="160"/>
      <c r="L242" s="160"/>
      <c r="M242" s="160"/>
      <c r="N242" s="160"/>
      <c r="O242" s="162"/>
      <c r="P242" s="159"/>
      <c r="Q242" s="160"/>
      <c r="R242" s="160"/>
      <c r="S242" s="160"/>
      <c r="T242" s="161"/>
    </row>
    <row r="243">
      <c r="A243" s="163">
        <v>2115002.0</v>
      </c>
      <c r="B243" s="164" t="s">
        <v>617</v>
      </c>
      <c r="C243" s="165">
        <v>7.0</v>
      </c>
      <c r="D243" s="184"/>
      <c r="E243" s="167">
        <v>1.0</v>
      </c>
      <c r="F243" s="167">
        <v>1.0</v>
      </c>
      <c r="G243" s="178"/>
      <c r="H243" s="167">
        <v>1.0</v>
      </c>
      <c r="I243" s="168">
        <v>1.0</v>
      </c>
      <c r="J243" s="178"/>
      <c r="K243" s="167">
        <v>1.0</v>
      </c>
      <c r="L243" s="167">
        <v>1.0</v>
      </c>
      <c r="M243" s="167">
        <v>1.0</v>
      </c>
      <c r="N243" s="167">
        <v>1.0</v>
      </c>
      <c r="O243" s="169">
        <v>1.0</v>
      </c>
      <c r="P243" s="166">
        <v>1.0</v>
      </c>
      <c r="Q243" s="167">
        <v>1.0</v>
      </c>
      <c r="R243" s="167">
        <v>1.0</v>
      </c>
      <c r="S243" s="167">
        <v>1.0</v>
      </c>
      <c r="T243" s="168">
        <v>1.0</v>
      </c>
      <c r="U243" s="170">
        <f t="shared" ref="U243:U245" si="52">if(I243+O243&gt;0,1,"")</f>
        <v>1</v>
      </c>
      <c r="V243" s="170">
        <f t="shared" ref="V243:V245" si="53">if(T243&gt;0,1,"")</f>
        <v>1</v>
      </c>
    </row>
    <row r="244">
      <c r="A244" s="163">
        <v>2115003.0</v>
      </c>
      <c r="B244" s="164" t="s">
        <v>619</v>
      </c>
      <c r="C244" s="165">
        <v>7.0</v>
      </c>
      <c r="D244" s="166">
        <v>1.0</v>
      </c>
      <c r="E244" s="167">
        <v>1.0</v>
      </c>
      <c r="F244" s="167">
        <v>1.0</v>
      </c>
      <c r="G244" s="167">
        <v>1.0</v>
      </c>
      <c r="H244" s="167">
        <v>1.0</v>
      </c>
      <c r="I244" s="168">
        <v>1.0</v>
      </c>
      <c r="J244" s="167">
        <v>1.0</v>
      </c>
      <c r="K244" s="167">
        <v>1.0</v>
      </c>
      <c r="L244" s="167">
        <v>1.0</v>
      </c>
      <c r="M244" s="167">
        <v>1.0</v>
      </c>
      <c r="N244" s="167">
        <v>1.0</v>
      </c>
      <c r="O244" s="169">
        <v>1.0</v>
      </c>
      <c r="P244" s="166">
        <v>1.0</v>
      </c>
      <c r="Q244" s="167">
        <v>1.0</v>
      </c>
      <c r="R244" s="167">
        <v>1.0</v>
      </c>
      <c r="S244" s="178"/>
      <c r="T244" s="168">
        <v>1.0</v>
      </c>
      <c r="U244" s="170">
        <f t="shared" si="52"/>
        <v>1</v>
      </c>
      <c r="V244" s="170">
        <f t="shared" si="53"/>
        <v>1</v>
      </c>
    </row>
    <row r="245">
      <c r="A245" s="163">
        <v>2115004.0</v>
      </c>
      <c r="B245" s="164" t="s">
        <v>621</v>
      </c>
      <c r="C245" s="165">
        <v>7.0</v>
      </c>
      <c r="D245" s="166">
        <v>1.0</v>
      </c>
      <c r="E245" s="167">
        <v>1.0</v>
      </c>
      <c r="F245" s="167">
        <v>1.0</v>
      </c>
      <c r="G245" s="167">
        <v>1.0</v>
      </c>
      <c r="H245" s="167">
        <v>1.0</v>
      </c>
      <c r="I245" s="168">
        <v>1.0</v>
      </c>
      <c r="J245" s="167">
        <v>1.0</v>
      </c>
      <c r="K245" s="167">
        <v>1.0</v>
      </c>
      <c r="L245" s="167">
        <v>1.0</v>
      </c>
      <c r="M245" s="167">
        <v>1.0</v>
      </c>
      <c r="N245" s="167">
        <v>1.0</v>
      </c>
      <c r="O245" s="169">
        <v>1.0</v>
      </c>
      <c r="P245" s="180"/>
      <c r="Q245" s="178"/>
      <c r="R245" s="178"/>
      <c r="S245" s="178"/>
      <c r="T245" s="181"/>
      <c r="U245" s="170">
        <f t="shared" si="52"/>
        <v>1</v>
      </c>
      <c r="V245" s="170" t="str">
        <f t="shared" si="53"/>
        <v/>
      </c>
    </row>
    <row r="246">
      <c r="A246" s="156">
        <v>2116000.0</v>
      </c>
      <c r="B246" s="157" t="s">
        <v>1783</v>
      </c>
      <c r="C246" s="158">
        <v>4.0</v>
      </c>
      <c r="D246" s="159"/>
      <c r="E246" s="160"/>
      <c r="F246" s="160"/>
      <c r="G246" s="160"/>
      <c r="H246" s="160"/>
      <c r="I246" s="161"/>
      <c r="J246" s="160"/>
      <c r="K246" s="160"/>
      <c r="L246" s="160"/>
      <c r="M246" s="160"/>
      <c r="N246" s="160"/>
      <c r="O246" s="162"/>
      <c r="P246" s="159"/>
      <c r="Q246" s="160"/>
      <c r="R246" s="160"/>
      <c r="S246" s="160"/>
      <c r="T246" s="161"/>
    </row>
    <row r="247">
      <c r="A247" s="163">
        <v>2116001.0</v>
      </c>
      <c r="B247" s="164" t="s">
        <v>623</v>
      </c>
      <c r="C247" s="165">
        <v>7.0</v>
      </c>
      <c r="D247" s="166">
        <v>1.0</v>
      </c>
      <c r="E247" s="167">
        <v>1.0</v>
      </c>
      <c r="F247" s="167">
        <v>1.0</v>
      </c>
      <c r="G247" s="167">
        <v>1.0</v>
      </c>
      <c r="H247" s="167">
        <v>1.0</v>
      </c>
      <c r="I247" s="168">
        <v>1.0</v>
      </c>
      <c r="J247" s="178"/>
      <c r="K247" s="167">
        <v>1.0</v>
      </c>
      <c r="L247" s="167">
        <v>1.0</v>
      </c>
      <c r="M247" s="167">
        <v>1.0</v>
      </c>
      <c r="N247" s="167">
        <v>1.0</v>
      </c>
      <c r="O247" s="169">
        <v>1.0</v>
      </c>
      <c r="P247" s="166">
        <v>1.0</v>
      </c>
      <c r="Q247" s="167">
        <v>1.0</v>
      </c>
      <c r="R247" s="167">
        <v>1.0</v>
      </c>
      <c r="S247" s="167">
        <v>1.0</v>
      </c>
      <c r="T247" s="168">
        <v>1.0</v>
      </c>
      <c r="U247" s="170">
        <f>if(I247+O247&gt;0,1,"")</f>
        <v>1</v>
      </c>
      <c r="V247" s="170">
        <f>if(T247&gt;0,1,"")</f>
        <v>1</v>
      </c>
    </row>
    <row r="248">
      <c r="A248" s="149">
        <v>2120000.0</v>
      </c>
      <c r="B248" s="150" t="s">
        <v>1784</v>
      </c>
      <c r="C248" s="151">
        <v>3.0</v>
      </c>
      <c r="D248" s="152"/>
      <c r="E248" s="153"/>
      <c r="F248" s="153"/>
      <c r="G248" s="153"/>
      <c r="H248" s="153"/>
      <c r="I248" s="154"/>
      <c r="J248" s="153"/>
      <c r="K248" s="153"/>
      <c r="L248" s="153"/>
      <c r="M248" s="153"/>
      <c r="N248" s="153"/>
      <c r="O248" s="155"/>
      <c r="P248" s="152"/>
      <c r="Q248" s="153"/>
      <c r="R248" s="153"/>
      <c r="S248" s="153"/>
      <c r="T248" s="154"/>
    </row>
    <row r="249">
      <c r="A249" s="156">
        <v>2122000.0</v>
      </c>
      <c r="B249" s="157" t="s">
        <v>1785</v>
      </c>
      <c r="C249" s="158">
        <v>4.0</v>
      </c>
      <c r="D249" s="159"/>
      <c r="E249" s="160"/>
      <c r="F249" s="160"/>
      <c r="G249" s="160"/>
      <c r="H249" s="160"/>
      <c r="I249" s="161"/>
      <c r="J249" s="160"/>
      <c r="K249" s="160"/>
      <c r="L249" s="160"/>
      <c r="M249" s="160"/>
      <c r="N249" s="160"/>
      <c r="O249" s="162"/>
      <c r="P249" s="159"/>
      <c r="Q249" s="160"/>
      <c r="R249" s="160"/>
      <c r="S249" s="160"/>
      <c r="T249" s="161"/>
    </row>
    <row r="250">
      <c r="A250" s="163">
        <v>2122002.0</v>
      </c>
      <c r="B250" s="164" t="s">
        <v>631</v>
      </c>
      <c r="C250" s="165">
        <v>7.0</v>
      </c>
      <c r="D250" s="166">
        <v>1.0</v>
      </c>
      <c r="E250" s="167">
        <v>1.0</v>
      </c>
      <c r="F250" s="167">
        <v>1.0</v>
      </c>
      <c r="G250" s="167">
        <v>1.0</v>
      </c>
      <c r="H250" s="167">
        <v>1.0</v>
      </c>
      <c r="I250" s="168">
        <v>1.0</v>
      </c>
      <c r="J250" s="167">
        <v>1.0</v>
      </c>
      <c r="K250" s="167">
        <v>1.0</v>
      </c>
      <c r="L250" s="167">
        <v>1.0</v>
      </c>
      <c r="M250" s="167">
        <v>1.0</v>
      </c>
      <c r="N250" s="167">
        <v>1.0</v>
      </c>
      <c r="O250" s="169">
        <v>1.0</v>
      </c>
      <c r="P250" s="166">
        <v>1.0</v>
      </c>
      <c r="Q250" s="167">
        <v>1.0</v>
      </c>
      <c r="R250" s="167">
        <v>1.0</v>
      </c>
      <c r="S250" s="167">
        <v>1.0</v>
      </c>
      <c r="T250" s="168">
        <v>1.0</v>
      </c>
      <c r="U250" s="170">
        <f t="shared" ref="U250:U252" si="54">if(I250+O250&gt;0,1,"")</f>
        <v>1</v>
      </c>
      <c r="V250" s="170">
        <f t="shared" ref="V250:V252" si="55">if(T250&gt;0,1,"")</f>
        <v>1</v>
      </c>
    </row>
    <row r="251">
      <c r="A251" s="163">
        <v>2122003.0</v>
      </c>
      <c r="B251" s="164" t="s">
        <v>634</v>
      </c>
      <c r="C251" s="165">
        <v>7.0</v>
      </c>
      <c r="D251" s="166">
        <v>1.0</v>
      </c>
      <c r="E251" s="167">
        <v>1.0</v>
      </c>
      <c r="F251" s="167">
        <v>1.0</v>
      </c>
      <c r="G251" s="167">
        <v>1.0</v>
      </c>
      <c r="H251" s="167">
        <v>1.0</v>
      </c>
      <c r="I251" s="168">
        <v>1.0</v>
      </c>
      <c r="J251" s="178"/>
      <c r="K251" s="178"/>
      <c r="L251" s="178"/>
      <c r="M251" s="178"/>
      <c r="N251" s="178"/>
      <c r="O251" s="179"/>
      <c r="P251" s="166">
        <v>1.0</v>
      </c>
      <c r="Q251" s="167">
        <v>1.0</v>
      </c>
      <c r="R251" s="167">
        <v>1.0</v>
      </c>
      <c r="S251" s="167">
        <v>1.0</v>
      </c>
      <c r="T251" s="168">
        <v>1.0</v>
      </c>
      <c r="U251" s="170">
        <f t="shared" si="54"/>
        <v>1</v>
      </c>
      <c r="V251" s="170">
        <f t="shared" si="55"/>
        <v>1</v>
      </c>
    </row>
    <row r="252">
      <c r="A252" s="163">
        <v>2122004.0</v>
      </c>
      <c r="B252" s="164" t="s">
        <v>636</v>
      </c>
      <c r="C252" s="165">
        <v>7.0</v>
      </c>
      <c r="D252" s="166">
        <v>1.0</v>
      </c>
      <c r="E252" s="167">
        <v>1.0</v>
      </c>
      <c r="F252" s="167">
        <v>1.0</v>
      </c>
      <c r="G252" s="167">
        <v>1.0</v>
      </c>
      <c r="H252" s="167">
        <v>1.0</v>
      </c>
      <c r="I252" s="168">
        <v>1.0</v>
      </c>
      <c r="J252" s="167">
        <v>1.0</v>
      </c>
      <c r="K252" s="167">
        <v>1.0</v>
      </c>
      <c r="L252" s="167">
        <v>1.0</v>
      </c>
      <c r="M252" s="167">
        <v>1.0</v>
      </c>
      <c r="N252" s="167">
        <v>1.0</v>
      </c>
      <c r="O252" s="169">
        <v>1.0</v>
      </c>
      <c r="P252" s="166">
        <v>1.0</v>
      </c>
      <c r="Q252" s="167">
        <v>1.0</v>
      </c>
      <c r="R252" s="167">
        <v>1.0</v>
      </c>
      <c r="S252" s="167">
        <v>1.0</v>
      </c>
      <c r="T252" s="168">
        <v>1.0</v>
      </c>
      <c r="U252" s="170">
        <f t="shared" si="54"/>
        <v>1</v>
      </c>
      <c r="V252" s="170">
        <f t="shared" si="55"/>
        <v>1</v>
      </c>
    </row>
    <row r="253">
      <c r="A253" s="156">
        <v>2123000.0</v>
      </c>
      <c r="B253" s="157" t="s">
        <v>643</v>
      </c>
      <c r="C253" s="158">
        <v>4.0</v>
      </c>
      <c r="D253" s="159"/>
      <c r="E253" s="160"/>
      <c r="F253" s="160"/>
      <c r="G253" s="160"/>
      <c r="H253" s="160"/>
      <c r="I253" s="161"/>
      <c r="J253" s="160"/>
      <c r="K253" s="160"/>
      <c r="L253" s="160"/>
      <c r="M253" s="160"/>
      <c r="N253" s="160"/>
      <c r="O253" s="162"/>
      <c r="P253" s="159"/>
      <c r="Q253" s="160"/>
      <c r="R253" s="160"/>
      <c r="S253" s="160"/>
      <c r="T253" s="161"/>
    </row>
    <row r="254">
      <c r="A254" s="163">
        <v>2123001.0</v>
      </c>
      <c r="B254" s="164" t="s">
        <v>638</v>
      </c>
      <c r="C254" s="165">
        <v>7.0</v>
      </c>
      <c r="D254" s="166">
        <v>1.0</v>
      </c>
      <c r="E254" s="167">
        <v>1.0</v>
      </c>
      <c r="F254" s="167">
        <v>1.0</v>
      </c>
      <c r="G254" s="167">
        <v>1.0</v>
      </c>
      <c r="H254" s="178"/>
      <c r="I254" s="168">
        <v>1.0</v>
      </c>
      <c r="J254" s="178"/>
      <c r="K254" s="167">
        <v>1.0</v>
      </c>
      <c r="L254" s="167">
        <v>1.0</v>
      </c>
      <c r="M254" s="167">
        <v>1.0</v>
      </c>
      <c r="N254" s="167">
        <v>1.0</v>
      </c>
      <c r="O254" s="169">
        <v>1.0</v>
      </c>
      <c r="P254" s="166">
        <v>1.0</v>
      </c>
      <c r="Q254" s="167">
        <v>1.0</v>
      </c>
      <c r="R254" s="167">
        <v>1.0</v>
      </c>
      <c r="S254" s="178"/>
      <c r="T254" s="168">
        <v>1.0</v>
      </c>
      <c r="U254" s="170">
        <f t="shared" ref="U254:U259" si="56">if(I254+O254&gt;0,1,"")</f>
        <v>1</v>
      </c>
      <c r="V254" s="170">
        <f t="shared" ref="V254:V259" si="57">if(T254&gt;0,1,"")</f>
        <v>1</v>
      </c>
    </row>
    <row r="255">
      <c r="A255" s="163">
        <v>2123002.0</v>
      </c>
      <c r="B255" s="164" t="s">
        <v>641</v>
      </c>
      <c r="C255" s="165">
        <v>7.0</v>
      </c>
      <c r="D255" s="166">
        <v>1.0</v>
      </c>
      <c r="E255" s="167">
        <v>1.0</v>
      </c>
      <c r="F255" s="167">
        <v>1.0</v>
      </c>
      <c r="G255" s="167">
        <v>1.0</v>
      </c>
      <c r="H255" s="167">
        <v>1.0</v>
      </c>
      <c r="I255" s="168">
        <v>1.0</v>
      </c>
      <c r="J255" s="167">
        <v>1.0</v>
      </c>
      <c r="K255" s="167">
        <v>1.0</v>
      </c>
      <c r="L255" s="167">
        <v>1.0</v>
      </c>
      <c r="M255" s="167">
        <v>1.0</v>
      </c>
      <c r="N255" s="167">
        <v>1.0</v>
      </c>
      <c r="O255" s="169">
        <v>1.0</v>
      </c>
      <c r="P255" s="166">
        <v>1.0</v>
      </c>
      <c r="Q255" s="167">
        <v>1.0</v>
      </c>
      <c r="R255" s="167">
        <v>1.0</v>
      </c>
      <c r="S255" s="167">
        <v>1.0</v>
      </c>
      <c r="T255" s="168">
        <v>1.0</v>
      </c>
      <c r="U255" s="170">
        <f t="shared" si="56"/>
        <v>1</v>
      </c>
      <c r="V255" s="170">
        <f t="shared" si="57"/>
        <v>1</v>
      </c>
    </row>
    <row r="256">
      <c r="A256" s="163">
        <v>2123004.0</v>
      </c>
      <c r="B256" s="164" t="s">
        <v>645</v>
      </c>
      <c r="C256" s="165">
        <v>7.0</v>
      </c>
      <c r="D256" s="166">
        <v>1.0</v>
      </c>
      <c r="E256" s="167">
        <v>1.0</v>
      </c>
      <c r="F256" s="167">
        <v>1.0</v>
      </c>
      <c r="G256" s="167">
        <v>1.0</v>
      </c>
      <c r="H256" s="167">
        <v>1.0</v>
      </c>
      <c r="I256" s="168">
        <v>1.0</v>
      </c>
      <c r="J256" s="167">
        <v>1.0</v>
      </c>
      <c r="K256" s="167">
        <v>1.0</v>
      </c>
      <c r="L256" s="178"/>
      <c r="M256" s="167">
        <v>1.0</v>
      </c>
      <c r="N256" s="167">
        <v>1.0</v>
      </c>
      <c r="O256" s="169">
        <v>1.0</v>
      </c>
      <c r="P256" s="166">
        <v>1.0</v>
      </c>
      <c r="Q256" s="167">
        <v>1.0</v>
      </c>
      <c r="R256" s="167">
        <v>1.0</v>
      </c>
      <c r="S256" s="167">
        <v>1.0</v>
      </c>
      <c r="T256" s="168">
        <v>1.0</v>
      </c>
      <c r="U256" s="170">
        <f t="shared" si="56"/>
        <v>1</v>
      </c>
      <c r="V256" s="170">
        <f t="shared" si="57"/>
        <v>1</v>
      </c>
    </row>
    <row r="257">
      <c r="A257" s="163">
        <v>2123006.0</v>
      </c>
      <c r="B257" s="164" t="s">
        <v>649</v>
      </c>
      <c r="C257" s="165">
        <v>7.0</v>
      </c>
      <c r="D257" s="166">
        <v>1.0</v>
      </c>
      <c r="E257" s="167">
        <v>1.0</v>
      </c>
      <c r="F257" s="167">
        <v>1.0</v>
      </c>
      <c r="G257" s="167">
        <v>1.0</v>
      </c>
      <c r="H257" s="167">
        <v>1.0</v>
      </c>
      <c r="I257" s="168">
        <v>1.0</v>
      </c>
      <c r="J257" s="167">
        <v>1.0</v>
      </c>
      <c r="K257" s="167">
        <v>1.0</v>
      </c>
      <c r="L257" s="167">
        <v>1.0</v>
      </c>
      <c r="M257" s="167">
        <v>1.0</v>
      </c>
      <c r="N257" s="178"/>
      <c r="O257" s="169">
        <v>1.0</v>
      </c>
      <c r="P257" s="166">
        <v>1.0</v>
      </c>
      <c r="Q257" s="167">
        <v>1.0</v>
      </c>
      <c r="R257" s="167">
        <v>1.0</v>
      </c>
      <c r="S257" s="167">
        <v>1.0</v>
      </c>
      <c r="T257" s="168">
        <v>1.0</v>
      </c>
      <c r="U257" s="170">
        <f t="shared" si="56"/>
        <v>1</v>
      </c>
      <c r="V257" s="170">
        <f t="shared" si="57"/>
        <v>1</v>
      </c>
    </row>
    <row r="258">
      <c r="A258" s="163">
        <v>2123008.0</v>
      </c>
      <c r="B258" s="164" t="s">
        <v>653</v>
      </c>
      <c r="C258" s="165">
        <v>7.0</v>
      </c>
      <c r="D258" s="166">
        <v>1.0</v>
      </c>
      <c r="E258" s="167">
        <v>1.0</v>
      </c>
      <c r="F258" s="167">
        <v>1.0</v>
      </c>
      <c r="G258" s="167">
        <v>1.0</v>
      </c>
      <c r="H258" s="167">
        <v>1.0</v>
      </c>
      <c r="I258" s="168">
        <v>1.0</v>
      </c>
      <c r="J258" s="167">
        <v>1.0</v>
      </c>
      <c r="K258" s="167">
        <v>1.0</v>
      </c>
      <c r="L258" s="167">
        <v>1.0</v>
      </c>
      <c r="M258" s="167">
        <v>1.0</v>
      </c>
      <c r="N258" s="167">
        <v>1.0</v>
      </c>
      <c r="O258" s="169">
        <v>1.0</v>
      </c>
      <c r="P258" s="166">
        <v>1.0</v>
      </c>
      <c r="Q258" s="167">
        <v>1.0</v>
      </c>
      <c r="R258" s="167">
        <v>1.0</v>
      </c>
      <c r="S258" s="167">
        <v>1.0</v>
      </c>
      <c r="T258" s="168">
        <v>1.0</v>
      </c>
      <c r="U258" s="170">
        <f t="shared" si="56"/>
        <v>1</v>
      </c>
      <c r="V258" s="170">
        <f t="shared" si="57"/>
        <v>1</v>
      </c>
    </row>
    <row r="259">
      <c r="A259" s="163">
        <v>2123009.0</v>
      </c>
      <c r="B259" s="164" t="s">
        <v>655</v>
      </c>
      <c r="C259" s="165">
        <v>7.0</v>
      </c>
      <c r="D259" s="166">
        <v>1.0</v>
      </c>
      <c r="E259" s="167">
        <v>1.0</v>
      </c>
      <c r="F259" s="167">
        <v>1.0</v>
      </c>
      <c r="G259" s="167">
        <v>1.0</v>
      </c>
      <c r="H259" s="167">
        <v>1.0</v>
      </c>
      <c r="I259" s="168">
        <v>1.0</v>
      </c>
      <c r="J259" s="167">
        <v>1.0</v>
      </c>
      <c r="K259" s="167">
        <v>1.0</v>
      </c>
      <c r="L259" s="167">
        <v>1.0</v>
      </c>
      <c r="M259" s="167">
        <v>1.0</v>
      </c>
      <c r="N259" s="167">
        <v>1.0</v>
      </c>
      <c r="O259" s="169">
        <v>1.0</v>
      </c>
      <c r="P259" s="166">
        <v>1.0</v>
      </c>
      <c r="Q259" s="167">
        <v>1.0</v>
      </c>
      <c r="R259" s="167">
        <v>1.0</v>
      </c>
      <c r="S259" s="167">
        <v>1.0</v>
      </c>
      <c r="T259" s="168">
        <v>1.0</v>
      </c>
      <c r="U259" s="170">
        <f t="shared" si="56"/>
        <v>1</v>
      </c>
      <c r="V259" s="170">
        <f t="shared" si="57"/>
        <v>1</v>
      </c>
    </row>
    <row r="260">
      <c r="A260" s="156">
        <v>2124000.0</v>
      </c>
      <c r="B260" s="157" t="s">
        <v>1786</v>
      </c>
      <c r="C260" s="158">
        <v>4.0</v>
      </c>
      <c r="D260" s="159"/>
      <c r="E260" s="160"/>
      <c r="F260" s="160"/>
      <c r="G260" s="160"/>
      <c r="H260" s="160"/>
      <c r="I260" s="161"/>
      <c r="J260" s="160"/>
      <c r="K260" s="160"/>
      <c r="L260" s="160"/>
      <c r="M260" s="160"/>
      <c r="N260" s="160"/>
      <c r="O260" s="162"/>
      <c r="P260" s="159"/>
      <c r="Q260" s="160"/>
      <c r="R260" s="160"/>
      <c r="S260" s="160"/>
      <c r="T260" s="161"/>
    </row>
    <row r="261">
      <c r="A261" s="163">
        <v>2124001.0</v>
      </c>
      <c r="B261" s="164" t="s">
        <v>659</v>
      </c>
      <c r="C261" s="165">
        <v>7.0</v>
      </c>
      <c r="D261" s="166">
        <v>1.0</v>
      </c>
      <c r="E261" s="167">
        <v>1.0</v>
      </c>
      <c r="F261" s="167">
        <v>1.0</v>
      </c>
      <c r="G261" s="167">
        <v>1.0</v>
      </c>
      <c r="H261" s="167">
        <v>1.0</v>
      </c>
      <c r="I261" s="168">
        <v>1.0</v>
      </c>
      <c r="J261" s="167">
        <v>1.0</v>
      </c>
      <c r="K261" s="167">
        <v>1.0</v>
      </c>
      <c r="L261" s="167">
        <v>1.0</v>
      </c>
      <c r="M261" s="167">
        <v>1.0</v>
      </c>
      <c r="N261" s="167">
        <v>1.0</v>
      </c>
      <c r="O261" s="169">
        <v>1.0</v>
      </c>
      <c r="P261" s="166">
        <v>1.0</v>
      </c>
      <c r="Q261" s="167">
        <v>1.0</v>
      </c>
      <c r="R261" s="167">
        <v>1.0</v>
      </c>
      <c r="S261" s="167">
        <v>1.0</v>
      </c>
      <c r="T261" s="168">
        <v>1.0</v>
      </c>
      <c r="U261" s="170">
        <f t="shared" ref="U261:U263" si="58">if(I261+O261&gt;0,1,"")</f>
        <v>1</v>
      </c>
      <c r="V261" s="170">
        <f t="shared" ref="V261:V263" si="59">if(T261&gt;0,1,"")</f>
        <v>1</v>
      </c>
    </row>
    <row r="262">
      <c r="A262" s="163">
        <v>2124002.0</v>
      </c>
      <c r="B262" s="164" t="s">
        <v>661</v>
      </c>
      <c r="C262" s="165">
        <v>7.0</v>
      </c>
      <c r="D262" s="166">
        <v>1.0</v>
      </c>
      <c r="E262" s="167">
        <v>1.0</v>
      </c>
      <c r="F262" s="167">
        <v>1.0</v>
      </c>
      <c r="G262" s="167">
        <v>1.0</v>
      </c>
      <c r="H262" s="167">
        <v>1.0</v>
      </c>
      <c r="I262" s="168">
        <v>1.0</v>
      </c>
      <c r="J262" s="167">
        <v>1.0</v>
      </c>
      <c r="K262" s="167">
        <v>1.0</v>
      </c>
      <c r="L262" s="167">
        <v>1.0</v>
      </c>
      <c r="M262" s="167">
        <v>1.0</v>
      </c>
      <c r="N262" s="167">
        <v>1.0</v>
      </c>
      <c r="O262" s="169">
        <v>1.0</v>
      </c>
      <c r="P262" s="166">
        <v>1.0</v>
      </c>
      <c r="Q262" s="167">
        <v>1.0</v>
      </c>
      <c r="R262" s="167">
        <v>1.0</v>
      </c>
      <c r="S262" s="167">
        <v>1.0</v>
      </c>
      <c r="T262" s="168">
        <v>1.0</v>
      </c>
      <c r="U262" s="170">
        <f t="shared" si="58"/>
        <v>1</v>
      </c>
      <c r="V262" s="170">
        <f t="shared" si="59"/>
        <v>1</v>
      </c>
    </row>
    <row r="263">
      <c r="A263" s="163">
        <v>2124003.0</v>
      </c>
      <c r="B263" s="164" t="s">
        <v>663</v>
      </c>
      <c r="C263" s="165">
        <v>7.0</v>
      </c>
      <c r="D263" s="166">
        <v>1.0</v>
      </c>
      <c r="E263" s="167">
        <v>1.0</v>
      </c>
      <c r="F263" s="167">
        <v>1.0</v>
      </c>
      <c r="G263" s="167">
        <v>1.0</v>
      </c>
      <c r="H263" s="167">
        <v>1.0</v>
      </c>
      <c r="I263" s="168">
        <v>1.0</v>
      </c>
      <c r="J263" s="167">
        <v>1.0</v>
      </c>
      <c r="K263" s="167">
        <v>1.0</v>
      </c>
      <c r="L263" s="167">
        <v>1.0</v>
      </c>
      <c r="M263" s="167">
        <v>1.0</v>
      </c>
      <c r="N263" s="167">
        <v>1.0</v>
      </c>
      <c r="O263" s="169">
        <v>1.0</v>
      </c>
      <c r="P263" s="166">
        <v>1.0</v>
      </c>
      <c r="Q263" s="167">
        <v>1.0</v>
      </c>
      <c r="R263" s="167">
        <v>1.0</v>
      </c>
      <c r="S263" s="167">
        <v>1.0</v>
      </c>
      <c r="T263" s="168">
        <v>1.0</v>
      </c>
      <c r="U263" s="170">
        <f t="shared" si="58"/>
        <v>1</v>
      </c>
      <c r="V263" s="170">
        <f t="shared" si="59"/>
        <v>1</v>
      </c>
    </row>
    <row r="264">
      <c r="A264" s="156">
        <v>2125000.0</v>
      </c>
      <c r="B264" s="157" t="s">
        <v>1787</v>
      </c>
      <c r="C264" s="158">
        <v>4.0</v>
      </c>
      <c r="D264" s="159"/>
      <c r="E264" s="160"/>
      <c r="F264" s="160"/>
      <c r="G264" s="160"/>
      <c r="H264" s="160"/>
      <c r="I264" s="161"/>
      <c r="J264" s="160"/>
      <c r="K264" s="160"/>
      <c r="L264" s="160"/>
      <c r="M264" s="160"/>
      <c r="N264" s="160"/>
      <c r="O264" s="162"/>
      <c r="P264" s="159"/>
      <c r="Q264" s="160"/>
      <c r="R264" s="160"/>
      <c r="S264" s="160"/>
      <c r="T264" s="161"/>
    </row>
    <row r="265">
      <c r="A265" s="163">
        <v>2125001.0</v>
      </c>
      <c r="B265" s="164" t="s">
        <v>667</v>
      </c>
      <c r="C265" s="165">
        <v>7.0</v>
      </c>
      <c r="D265" s="166">
        <v>1.0</v>
      </c>
      <c r="E265" s="167">
        <v>1.0</v>
      </c>
      <c r="F265" s="167">
        <v>1.0</v>
      </c>
      <c r="G265" s="167">
        <v>1.0</v>
      </c>
      <c r="H265" s="167">
        <v>1.0</v>
      </c>
      <c r="I265" s="168">
        <v>1.0</v>
      </c>
      <c r="J265" s="167">
        <v>1.0</v>
      </c>
      <c r="K265" s="167">
        <v>1.0</v>
      </c>
      <c r="L265" s="167">
        <v>1.0</v>
      </c>
      <c r="M265" s="167">
        <v>1.0</v>
      </c>
      <c r="N265" s="167">
        <v>1.0</v>
      </c>
      <c r="O265" s="169">
        <v>1.0</v>
      </c>
      <c r="P265" s="166">
        <v>1.0</v>
      </c>
      <c r="Q265" s="167">
        <v>1.0</v>
      </c>
      <c r="R265" s="167">
        <v>1.0</v>
      </c>
      <c r="S265" s="167">
        <v>1.0</v>
      </c>
      <c r="T265" s="168">
        <v>1.0</v>
      </c>
      <c r="U265" s="170">
        <f t="shared" ref="U265:U266" si="60">if(I265+O265&gt;0,1,"")</f>
        <v>1</v>
      </c>
      <c r="V265" s="170">
        <f t="shared" ref="V265:V266" si="61">if(T265&gt;0,1,"")</f>
        <v>1</v>
      </c>
    </row>
    <row r="266">
      <c r="A266" s="163">
        <v>2125003.0</v>
      </c>
      <c r="B266" s="164" t="s">
        <v>671</v>
      </c>
      <c r="C266" s="165">
        <v>7.0</v>
      </c>
      <c r="D266" s="166">
        <v>1.0</v>
      </c>
      <c r="E266" s="167">
        <v>1.0</v>
      </c>
      <c r="F266" s="167">
        <v>1.0</v>
      </c>
      <c r="G266" s="167">
        <v>1.0</v>
      </c>
      <c r="H266" s="167">
        <v>1.0</v>
      </c>
      <c r="I266" s="168">
        <v>1.0</v>
      </c>
      <c r="J266" s="167">
        <v>1.0</v>
      </c>
      <c r="K266" s="167">
        <v>1.0</v>
      </c>
      <c r="L266" s="167">
        <v>1.0</v>
      </c>
      <c r="M266" s="167">
        <v>1.0</v>
      </c>
      <c r="N266" s="167">
        <v>1.0</v>
      </c>
      <c r="O266" s="169">
        <v>1.0</v>
      </c>
      <c r="P266" s="166">
        <v>1.0</v>
      </c>
      <c r="Q266" s="167">
        <v>1.0</v>
      </c>
      <c r="R266" s="167">
        <v>1.0</v>
      </c>
      <c r="S266" s="167">
        <v>1.0</v>
      </c>
      <c r="T266" s="168">
        <v>1.0</v>
      </c>
      <c r="U266" s="170">
        <f t="shared" si="60"/>
        <v>1</v>
      </c>
      <c r="V266" s="170">
        <f t="shared" si="61"/>
        <v>1</v>
      </c>
    </row>
    <row r="267">
      <c r="A267" s="149">
        <v>2130000.0</v>
      </c>
      <c r="B267" s="150" t="s">
        <v>1788</v>
      </c>
      <c r="C267" s="151">
        <v>3.0</v>
      </c>
      <c r="D267" s="152"/>
      <c r="E267" s="153"/>
      <c r="F267" s="153"/>
      <c r="G267" s="153"/>
      <c r="H267" s="153"/>
      <c r="I267" s="154"/>
      <c r="J267" s="153"/>
      <c r="K267" s="153"/>
      <c r="L267" s="153"/>
      <c r="M267" s="153"/>
      <c r="N267" s="153"/>
      <c r="O267" s="155"/>
      <c r="P267" s="152"/>
      <c r="Q267" s="153"/>
      <c r="R267" s="153"/>
      <c r="S267" s="153"/>
      <c r="T267" s="154"/>
    </row>
    <row r="268">
      <c r="A268" s="156">
        <v>2131000.0</v>
      </c>
      <c r="B268" s="157" t="s">
        <v>1789</v>
      </c>
      <c r="C268" s="158">
        <v>4.0</v>
      </c>
      <c r="D268" s="159"/>
      <c r="E268" s="160"/>
      <c r="F268" s="160"/>
      <c r="G268" s="160"/>
      <c r="H268" s="160"/>
      <c r="I268" s="161"/>
      <c r="J268" s="160"/>
      <c r="K268" s="160"/>
      <c r="L268" s="160"/>
      <c r="M268" s="160"/>
      <c r="N268" s="160"/>
      <c r="O268" s="162"/>
      <c r="P268" s="159"/>
      <c r="Q268" s="160"/>
      <c r="R268" s="160"/>
      <c r="S268" s="160"/>
      <c r="T268" s="161"/>
    </row>
    <row r="269">
      <c r="A269" s="163">
        <v>2131002.0</v>
      </c>
      <c r="B269" s="164" t="s">
        <v>677</v>
      </c>
      <c r="C269" s="165">
        <v>7.0</v>
      </c>
      <c r="D269" s="166">
        <v>1.0</v>
      </c>
      <c r="E269" s="167">
        <v>1.0</v>
      </c>
      <c r="F269" s="167">
        <v>1.0</v>
      </c>
      <c r="G269" s="167">
        <v>1.0</v>
      </c>
      <c r="H269" s="167">
        <v>1.0</v>
      </c>
      <c r="I269" s="168">
        <v>1.0</v>
      </c>
      <c r="J269" s="167">
        <v>1.0</v>
      </c>
      <c r="K269" s="167">
        <v>1.0</v>
      </c>
      <c r="L269" s="167">
        <v>1.0</v>
      </c>
      <c r="M269" s="167">
        <v>1.0</v>
      </c>
      <c r="N269" s="167">
        <v>1.0</v>
      </c>
      <c r="O269" s="169">
        <v>1.0</v>
      </c>
      <c r="P269" s="166">
        <v>1.0</v>
      </c>
      <c r="Q269" s="167">
        <v>1.0</v>
      </c>
      <c r="R269" s="167">
        <v>1.0</v>
      </c>
      <c r="S269" s="167">
        <v>1.0</v>
      </c>
      <c r="T269" s="168">
        <v>1.0</v>
      </c>
      <c r="U269" s="170">
        <f>if(I269+O269&gt;0,1,"")</f>
        <v>1</v>
      </c>
      <c r="V269" s="170">
        <f>if(T269&gt;0,1,"")</f>
        <v>1</v>
      </c>
    </row>
    <row r="270">
      <c r="A270" s="156">
        <v>2132000.0</v>
      </c>
      <c r="B270" s="157" t="s">
        <v>1790</v>
      </c>
      <c r="C270" s="158">
        <v>4.0</v>
      </c>
      <c r="D270" s="159"/>
      <c r="E270" s="160"/>
      <c r="F270" s="160"/>
      <c r="G270" s="160"/>
      <c r="H270" s="160"/>
      <c r="I270" s="161"/>
      <c r="J270" s="160"/>
      <c r="K270" s="160"/>
      <c r="L270" s="160"/>
      <c r="M270" s="160"/>
      <c r="N270" s="160"/>
      <c r="O270" s="162"/>
      <c r="P270" s="159"/>
      <c r="Q270" s="160"/>
      <c r="R270" s="160"/>
      <c r="S270" s="160"/>
      <c r="T270" s="161"/>
    </row>
    <row r="271">
      <c r="A271" s="163">
        <v>2132001.0</v>
      </c>
      <c r="B271" s="164" t="s">
        <v>679</v>
      </c>
      <c r="C271" s="165">
        <v>7.0</v>
      </c>
      <c r="D271" s="184"/>
      <c r="E271" s="178"/>
      <c r="F271" s="167">
        <v>1.0</v>
      </c>
      <c r="G271" s="167">
        <v>1.0</v>
      </c>
      <c r="H271" s="178"/>
      <c r="I271" s="168">
        <v>1.0</v>
      </c>
      <c r="J271" s="178"/>
      <c r="K271" s="167">
        <v>1.0</v>
      </c>
      <c r="L271" s="167">
        <v>1.0</v>
      </c>
      <c r="M271" s="167">
        <v>1.0</v>
      </c>
      <c r="N271" s="178"/>
      <c r="O271" s="169">
        <v>1.0</v>
      </c>
      <c r="P271" s="180"/>
      <c r="Q271" s="167">
        <v>1.0</v>
      </c>
      <c r="R271" s="167">
        <v>1.0</v>
      </c>
      <c r="S271" s="178"/>
      <c r="T271" s="168">
        <v>1.0</v>
      </c>
      <c r="U271" s="170">
        <f t="shared" ref="U271:U272" si="62">if(I271+O271&gt;0,1,"")</f>
        <v>1</v>
      </c>
      <c r="V271" s="170">
        <f t="shared" ref="V271:V272" si="63">if(T271&gt;0,1,"")</f>
        <v>1</v>
      </c>
    </row>
    <row r="272">
      <c r="A272" s="163">
        <v>2132003.0</v>
      </c>
      <c r="B272" s="164" t="s">
        <v>683</v>
      </c>
      <c r="C272" s="165">
        <v>7.0</v>
      </c>
      <c r="D272" s="166">
        <v>1.0</v>
      </c>
      <c r="E272" s="167">
        <v>1.0</v>
      </c>
      <c r="F272" s="167">
        <v>1.0</v>
      </c>
      <c r="G272" s="167">
        <v>1.0</v>
      </c>
      <c r="H272" s="167">
        <v>1.0</v>
      </c>
      <c r="I272" s="168">
        <v>1.0</v>
      </c>
      <c r="J272" s="167">
        <v>1.0</v>
      </c>
      <c r="K272" s="167">
        <v>1.0</v>
      </c>
      <c r="L272" s="167">
        <v>1.0</v>
      </c>
      <c r="M272" s="167">
        <v>1.0</v>
      </c>
      <c r="N272" s="167">
        <v>1.0</v>
      </c>
      <c r="O272" s="169">
        <v>1.0</v>
      </c>
      <c r="P272" s="166">
        <v>1.0</v>
      </c>
      <c r="Q272" s="167">
        <v>1.0</v>
      </c>
      <c r="R272" s="167">
        <v>1.0</v>
      </c>
      <c r="S272" s="167">
        <v>1.0</v>
      </c>
      <c r="T272" s="168">
        <v>1.0</v>
      </c>
      <c r="U272" s="170">
        <f t="shared" si="62"/>
        <v>1</v>
      </c>
      <c r="V272" s="170">
        <f t="shared" si="63"/>
        <v>1</v>
      </c>
    </row>
    <row r="273">
      <c r="A273" s="156">
        <v>2133000.0</v>
      </c>
      <c r="B273" s="157" t="s">
        <v>1791</v>
      </c>
      <c r="C273" s="158">
        <v>4.0</v>
      </c>
      <c r="D273" s="159"/>
      <c r="E273" s="160"/>
      <c r="F273" s="160"/>
      <c r="G273" s="160"/>
      <c r="H273" s="160"/>
      <c r="I273" s="161"/>
      <c r="J273" s="160"/>
      <c r="K273" s="160"/>
      <c r="L273" s="160"/>
      <c r="M273" s="160"/>
      <c r="N273" s="160"/>
      <c r="O273" s="162"/>
      <c r="P273" s="159"/>
      <c r="Q273" s="160"/>
      <c r="R273" s="160"/>
      <c r="S273" s="160"/>
      <c r="T273" s="161"/>
    </row>
    <row r="274">
      <c r="A274" s="163">
        <v>2133001.0</v>
      </c>
      <c r="B274" s="164" t="s">
        <v>687</v>
      </c>
      <c r="C274" s="165">
        <v>7.0</v>
      </c>
      <c r="D274" s="166">
        <v>1.0</v>
      </c>
      <c r="E274" s="167">
        <v>1.0</v>
      </c>
      <c r="F274" s="167">
        <v>1.0</v>
      </c>
      <c r="G274" s="167">
        <v>1.0</v>
      </c>
      <c r="H274" s="167">
        <v>1.0</v>
      </c>
      <c r="I274" s="168">
        <v>1.0</v>
      </c>
      <c r="J274" s="167">
        <v>1.0</v>
      </c>
      <c r="K274" s="167">
        <v>1.0</v>
      </c>
      <c r="L274" s="167">
        <v>1.0</v>
      </c>
      <c r="M274" s="167">
        <v>1.0</v>
      </c>
      <c r="N274" s="167">
        <v>1.0</v>
      </c>
      <c r="O274" s="169">
        <v>1.0</v>
      </c>
      <c r="P274" s="166">
        <v>1.0</v>
      </c>
      <c r="Q274" s="167">
        <v>1.0</v>
      </c>
      <c r="R274" s="167">
        <v>1.0</v>
      </c>
      <c r="S274" s="167">
        <v>1.0</v>
      </c>
      <c r="T274" s="168">
        <v>1.0</v>
      </c>
      <c r="U274" s="170">
        <f t="shared" ref="U274:U276" si="64">if(I274+O274&gt;0,1,"")</f>
        <v>1</v>
      </c>
      <c r="V274" s="170">
        <f t="shared" ref="V274:V276" si="65">if(T274&gt;0,1,"")</f>
        <v>1</v>
      </c>
    </row>
    <row r="275">
      <c r="A275" s="163">
        <v>2133003.0</v>
      </c>
      <c r="B275" s="164" t="s">
        <v>691</v>
      </c>
      <c r="C275" s="165">
        <v>7.0</v>
      </c>
      <c r="D275" s="166">
        <v>1.0</v>
      </c>
      <c r="E275" s="178"/>
      <c r="F275" s="167">
        <v>1.0</v>
      </c>
      <c r="G275" s="167">
        <v>1.0</v>
      </c>
      <c r="H275" s="167">
        <v>1.0</v>
      </c>
      <c r="I275" s="168">
        <v>1.0</v>
      </c>
      <c r="J275" s="167">
        <v>1.0</v>
      </c>
      <c r="K275" s="167">
        <v>1.0</v>
      </c>
      <c r="L275" s="167">
        <v>1.0</v>
      </c>
      <c r="M275" s="167">
        <v>1.0</v>
      </c>
      <c r="N275" s="167">
        <v>1.0</v>
      </c>
      <c r="O275" s="169">
        <v>1.0</v>
      </c>
      <c r="P275" s="180"/>
      <c r="Q275" s="167">
        <v>1.0</v>
      </c>
      <c r="R275" s="167">
        <v>1.0</v>
      </c>
      <c r="S275" s="167">
        <v>1.0</v>
      </c>
      <c r="T275" s="168">
        <v>1.0</v>
      </c>
      <c r="U275" s="170">
        <f t="shared" si="64"/>
        <v>1</v>
      </c>
      <c r="V275" s="170">
        <f t="shared" si="65"/>
        <v>1</v>
      </c>
    </row>
    <row r="276">
      <c r="A276" s="163">
        <v>2133004.0</v>
      </c>
      <c r="B276" s="164" t="s">
        <v>693</v>
      </c>
      <c r="C276" s="165">
        <v>7.0</v>
      </c>
      <c r="D276" s="166">
        <v>1.0</v>
      </c>
      <c r="E276" s="167">
        <v>1.0</v>
      </c>
      <c r="F276" s="167">
        <v>1.0</v>
      </c>
      <c r="G276" s="167">
        <v>1.0</v>
      </c>
      <c r="H276" s="167">
        <v>1.0</v>
      </c>
      <c r="I276" s="168">
        <v>1.0</v>
      </c>
      <c r="J276" s="167">
        <v>1.0</v>
      </c>
      <c r="K276" s="167">
        <v>1.0</v>
      </c>
      <c r="L276" s="167">
        <v>1.0</v>
      </c>
      <c r="M276" s="167">
        <v>1.0</v>
      </c>
      <c r="N276" s="167">
        <v>1.0</v>
      </c>
      <c r="O276" s="169">
        <v>1.0</v>
      </c>
      <c r="P276" s="166">
        <v>1.0</v>
      </c>
      <c r="Q276" s="167">
        <v>1.0</v>
      </c>
      <c r="R276" s="167">
        <v>1.0</v>
      </c>
      <c r="S276" s="167">
        <v>1.0</v>
      </c>
      <c r="T276" s="168">
        <v>1.0</v>
      </c>
      <c r="U276" s="170">
        <f t="shared" si="64"/>
        <v>1</v>
      </c>
      <c r="V276" s="170">
        <f t="shared" si="65"/>
        <v>1</v>
      </c>
    </row>
    <row r="277">
      <c r="A277" s="156">
        <v>2134000.0</v>
      </c>
      <c r="B277" s="157" t="s">
        <v>1792</v>
      </c>
      <c r="C277" s="158">
        <v>4.0</v>
      </c>
      <c r="D277" s="159"/>
      <c r="E277" s="160"/>
      <c r="F277" s="160"/>
      <c r="G277" s="160"/>
      <c r="H277" s="160"/>
      <c r="I277" s="161"/>
      <c r="J277" s="160"/>
      <c r="K277" s="160"/>
      <c r="L277" s="160"/>
      <c r="M277" s="160"/>
      <c r="N277" s="160"/>
      <c r="O277" s="162"/>
      <c r="P277" s="159"/>
      <c r="Q277" s="160"/>
      <c r="R277" s="160"/>
      <c r="S277" s="160"/>
      <c r="T277" s="161"/>
    </row>
    <row r="278">
      <c r="A278" s="163">
        <v>2134001.0</v>
      </c>
      <c r="B278" s="164" t="s">
        <v>695</v>
      </c>
      <c r="C278" s="165">
        <v>7.0</v>
      </c>
      <c r="D278" s="166">
        <v>1.0</v>
      </c>
      <c r="E278" s="167">
        <v>1.0</v>
      </c>
      <c r="F278" s="167">
        <v>1.0</v>
      </c>
      <c r="G278" s="167">
        <v>1.0</v>
      </c>
      <c r="H278" s="167">
        <v>1.0</v>
      </c>
      <c r="I278" s="168">
        <v>1.0</v>
      </c>
      <c r="J278" s="167">
        <v>1.0</v>
      </c>
      <c r="K278" s="167">
        <v>1.0</v>
      </c>
      <c r="L278" s="167">
        <v>1.0</v>
      </c>
      <c r="M278" s="167">
        <v>1.0</v>
      </c>
      <c r="N278" s="167">
        <v>1.0</v>
      </c>
      <c r="O278" s="169">
        <v>1.0</v>
      </c>
      <c r="P278" s="166">
        <v>1.0</v>
      </c>
      <c r="Q278" s="167">
        <v>1.0</v>
      </c>
      <c r="R278" s="167">
        <v>1.0</v>
      </c>
      <c r="S278" s="167">
        <v>1.0</v>
      </c>
      <c r="T278" s="168">
        <v>1.0</v>
      </c>
      <c r="U278" s="170">
        <f t="shared" ref="U278:U281" si="66">if(I278+O278&gt;0,1,"")</f>
        <v>1</v>
      </c>
      <c r="V278" s="170">
        <f t="shared" ref="V278:V281" si="67">if(T278&gt;0,1,"")</f>
        <v>1</v>
      </c>
    </row>
    <row r="279">
      <c r="A279" s="163">
        <v>2134002.0</v>
      </c>
      <c r="B279" s="164" t="s">
        <v>697</v>
      </c>
      <c r="C279" s="165">
        <v>7.0</v>
      </c>
      <c r="D279" s="166">
        <v>1.0</v>
      </c>
      <c r="E279" s="167">
        <v>1.0</v>
      </c>
      <c r="F279" s="167">
        <v>1.0</v>
      </c>
      <c r="G279" s="178"/>
      <c r="H279" s="167">
        <v>1.0</v>
      </c>
      <c r="I279" s="168">
        <v>1.0</v>
      </c>
      <c r="J279" s="167">
        <v>1.0</v>
      </c>
      <c r="K279" s="167">
        <v>1.0</v>
      </c>
      <c r="L279" s="178"/>
      <c r="M279" s="178"/>
      <c r="N279" s="167">
        <v>1.0</v>
      </c>
      <c r="O279" s="169">
        <v>1.0</v>
      </c>
      <c r="P279" s="166">
        <v>1.0</v>
      </c>
      <c r="Q279" s="167">
        <v>1.0</v>
      </c>
      <c r="R279" s="178"/>
      <c r="S279" s="167">
        <v>1.0</v>
      </c>
      <c r="T279" s="168">
        <v>1.0</v>
      </c>
      <c r="U279" s="170">
        <f t="shared" si="66"/>
        <v>1</v>
      </c>
      <c r="V279" s="170">
        <f t="shared" si="67"/>
        <v>1</v>
      </c>
    </row>
    <row r="280">
      <c r="A280" s="163">
        <v>2134003.0</v>
      </c>
      <c r="B280" s="164" t="s">
        <v>699</v>
      </c>
      <c r="C280" s="165">
        <v>7.0</v>
      </c>
      <c r="D280" s="166">
        <v>1.0</v>
      </c>
      <c r="E280" s="167">
        <v>1.0</v>
      </c>
      <c r="F280" s="167">
        <v>1.0</v>
      </c>
      <c r="G280" s="167">
        <v>1.0</v>
      </c>
      <c r="H280" s="167">
        <v>1.0</v>
      </c>
      <c r="I280" s="168">
        <v>1.0</v>
      </c>
      <c r="J280" s="167">
        <v>1.0</v>
      </c>
      <c r="K280" s="167">
        <v>1.0</v>
      </c>
      <c r="L280" s="167">
        <v>1.0</v>
      </c>
      <c r="M280" s="167">
        <v>1.0</v>
      </c>
      <c r="N280" s="167">
        <v>1.0</v>
      </c>
      <c r="O280" s="169">
        <v>1.0</v>
      </c>
      <c r="P280" s="166">
        <v>1.0</v>
      </c>
      <c r="Q280" s="167">
        <v>1.0</v>
      </c>
      <c r="R280" s="167">
        <v>1.0</v>
      </c>
      <c r="S280" s="167">
        <v>1.0</v>
      </c>
      <c r="T280" s="168">
        <v>1.0</v>
      </c>
      <c r="U280" s="170">
        <f t="shared" si="66"/>
        <v>1</v>
      </c>
      <c r="V280" s="170">
        <f t="shared" si="67"/>
        <v>1</v>
      </c>
    </row>
    <row r="281">
      <c r="A281" s="163">
        <v>2134005.0</v>
      </c>
      <c r="B281" s="164" t="s">
        <v>701</v>
      </c>
      <c r="C281" s="165">
        <v>7.0</v>
      </c>
      <c r="D281" s="184"/>
      <c r="E281" s="167">
        <v>1.0</v>
      </c>
      <c r="F281" s="167">
        <v>1.0</v>
      </c>
      <c r="G281" s="167">
        <v>1.0</v>
      </c>
      <c r="H281" s="167">
        <v>1.0</v>
      </c>
      <c r="I281" s="168">
        <v>1.0</v>
      </c>
      <c r="J281" s="167">
        <v>1.0</v>
      </c>
      <c r="K281" s="167">
        <v>1.0</v>
      </c>
      <c r="L281" s="167">
        <v>1.0</v>
      </c>
      <c r="M281" s="167">
        <v>1.0</v>
      </c>
      <c r="N281" s="167">
        <v>1.0</v>
      </c>
      <c r="O281" s="169">
        <v>1.0</v>
      </c>
      <c r="P281" s="166">
        <v>1.0</v>
      </c>
      <c r="Q281" s="167">
        <v>1.0</v>
      </c>
      <c r="R281" s="167">
        <v>1.0</v>
      </c>
      <c r="S281" s="167">
        <v>1.0</v>
      </c>
      <c r="T281" s="168">
        <v>1.0</v>
      </c>
      <c r="U281" s="170">
        <f t="shared" si="66"/>
        <v>1</v>
      </c>
      <c r="V281" s="170">
        <f t="shared" si="67"/>
        <v>1</v>
      </c>
    </row>
    <row r="282">
      <c r="A282" s="149">
        <v>2140000.0</v>
      </c>
      <c r="B282" s="150" t="s">
        <v>1793</v>
      </c>
      <c r="C282" s="151">
        <v>3.0</v>
      </c>
      <c r="D282" s="152"/>
      <c r="E282" s="153"/>
      <c r="F282" s="153"/>
      <c r="G282" s="153"/>
      <c r="H282" s="153"/>
      <c r="I282" s="154"/>
      <c r="J282" s="153"/>
      <c r="K282" s="153"/>
      <c r="L282" s="153"/>
      <c r="M282" s="153"/>
      <c r="N282" s="153"/>
      <c r="O282" s="155"/>
      <c r="P282" s="152"/>
      <c r="Q282" s="153"/>
      <c r="R282" s="153"/>
      <c r="S282" s="153"/>
      <c r="T282" s="154"/>
    </row>
    <row r="283">
      <c r="A283" s="156">
        <v>2141000.0</v>
      </c>
      <c r="B283" s="157" t="s">
        <v>1794</v>
      </c>
      <c r="C283" s="158">
        <v>4.0</v>
      </c>
      <c r="D283" s="159"/>
      <c r="E283" s="160"/>
      <c r="F283" s="160"/>
      <c r="G283" s="160"/>
      <c r="H283" s="160"/>
      <c r="I283" s="161"/>
      <c r="J283" s="160"/>
      <c r="K283" s="160"/>
      <c r="L283" s="160"/>
      <c r="M283" s="160"/>
      <c r="N283" s="160"/>
      <c r="O283" s="162"/>
      <c r="P283" s="159"/>
      <c r="Q283" s="160"/>
      <c r="R283" s="160"/>
      <c r="S283" s="160"/>
      <c r="T283" s="161"/>
    </row>
    <row r="284">
      <c r="A284" s="163">
        <v>2141002.0</v>
      </c>
      <c r="B284" s="164" t="s">
        <v>705</v>
      </c>
      <c r="C284" s="165">
        <v>7.0</v>
      </c>
      <c r="D284" s="166">
        <v>1.0</v>
      </c>
      <c r="E284" s="167">
        <v>1.0</v>
      </c>
      <c r="F284" s="167">
        <v>1.0</v>
      </c>
      <c r="G284" s="167">
        <v>1.0</v>
      </c>
      <c r="H284" s="167">
        <v>1.0</v>
      </c>
      <c r="I284" s="168">
        <v>1.0</v>
      </c>
      <c r="J284" s="178"/>
      <c r="K284" s="178"/>
      <c r="L284" s="178"/>
      <c r="M284" s="178"/>
      <c r="N284" s="178"/>
      <c r="O284" s="179"/>
      <c r="P284" s="180"/>
      <c r="Q284" s="167">
        <v>1.0</v>
      </c>
      <c r="R284" s="178"/>
      <c r="S284" s="167">
        <v>1.0</v>
      </c>
      <c r="T284" s="168">
        <v>1.0</v>
      </c>
      <c r="U284" s="170">
        <f t="shared" ref="U284:U286" si="68">if(I284+O284&gt;0,1,"")</f>
        <v>1</v>
      </c>
      <c r="V284" s="170">
        <f t="shared" ref="V284:V286" si="69">if(T284&gt;0,1,"")</f>
        <v>1</v>
      </c>
    </row>
    <row r="285">
      <c r="A285" s="163">
        <v>2141004.0</v>
      </c>
      <c r="B285" s="164" t="s">
        <v>709</v>
      </c>
      <c r="C285" s="165">
        <v>7.0</v>
      </c>
      <c r="D285" s="166">
        <v>1.0</v>
      </c>
      <c r="E285" s="167">
        <v>1.0</v>
      </c>
      <c r="F285" s="167">
        <v>1.0</v>
      </c>
      <c r="G285" s="167">
        <v>1.0</v>
      </c>
      <c r="H285" s="167">
        <v>1.0</v>
      </c>
      <c r="I285" s="168">
        <v>1.0</v>
      </c>
      <c r="J285" s="167">
        <v>1.0</v>
      </c>
      <c r="K285" s="167">
        <v>1.0</v>
      </c>
      <c r="L285" s="167">
        <v>1.0</v>
      </c>
      <c r="M285" s="167">
        <v>1.0</v>
      </c>
      <c r="N285" s="167">
        <v>1.0</v>
      </c>
      <c r="O285" s="169">
        <v>1.0</v>
      </c>
      <c r="P285" s="166">
        <v>1.0</v>
      </c>
      <c r="Q285" s="167">
        <v>1.0</v>
      </c>
      <c r="R285" s="167">
        <v>1.0</v>
      </c>
      <c r="S285" s="167">
        <v>1.0</v>
      </c>
      <c r="T285" s="168">
        <v>1.0</v>
      </c>
      <c r="U285" s="170">
        <f t="shared" si="68"/>
        <v>1</v>
      </c>
      <c r="V285" s="170">
        <f t="shared" si="69"/>
        <v>1</v>
      </c>
    </row>
    <row r="286">
      <c r="A286" s="163">
        <v>2141005.0</v>
      </c>
      <c r="B286" s="164" t="s">
        <v>711</v>
      </c>
      <c r="C286" s="165">
        <v>7.0</v>
      </c>
      <c r="D286" s="166">
        <v>1.0</v>
      </c>
      <c r="E286" s="167">
        <v>1.0</v>
      </c>
      <c r="F286" s="167">
        <v>1.0</v>
      </c>
      <c r="G286" s="167">
        <v>1.0</v>
      </c>
      <c r="H286" s="167">
        <v>1.0</v>
      </c>
      <c r="I286" s="168">
        <v>1.0</v>
      </c>
      <c r="J286" s="167">
        <v>1.0</v>
      </c>
      <c r="K286" s="167">
        <v>1.0</v>
      </c>
      <c r="L286" s="167">
        <v>1.0</v>
      </c>
      <c r="M286" s="167">
        <v>1.0</v>
      </c>
      <c r="N286" s="167">
        <v>1.0</v>
      </c>
      <c r="O286" s="169">
        <v>1.0</v>
      </c>
      <c r="P286" s="166">
        <v>1.0</v>
      </c>
      <c r="Q286" s="167">
        <v>1.0</v>
      </c>
      <c r="R286" s="167">
        <v>1.0</v>
      </c>
      <c r="S286" s="167">
        <v>1.0</v>
      </c>
      <c r="T286" s="168">
        <v>1.0</v>
      </c>
      <c r="U286" s="170">
        <f t="shared" si="68"/>
        <v>1</v>
      </c>
      <c r="V286" s="170">
        <f t="shared" si="69"/>
        <v>1</v>
      </c>
    </row>
    <row r="287">
      <c r="A287" s="142">
        <v>2200000.0</v>
      </c>
      <c r="B287" s="143" t="s">
        <v>1795</v>
      </c>
      <c r="C287" s="144">
        <v>2.0</v>
      </c>
      <c r="D287" s="145"/>
      <c r="E287" s="146"/>
      <c r="F287" s="146"/>
      <c r="G287" s="146"/>
      <c r="H287" s="146"/>
      <c r="I287" s="147"/>
      <c r="J287" s="146"/>
      <c r="K287" s="146"/>
      <c r="L287" s="146"/>
      <c r="M287" s="146"/>
      <c r="N287" s="146"/>
      <c r="O287" s="148"/>
      <c r="P287" s="145"/>
      <c r="Q287" s="146"/>
      <c r="R287" s="146"/>
      <c r="S287" s="146"/>
      <c r="T287" s="147"/>
    </row>
    <row r="288">
      <c r="A288" s="149">
        <v>2210000.0</v>
      </c>
      <c r="B288" s="150" t="s">
        <v>1796</v>
      </c>
      <c r="C288" s="151">
        <v>3.0</v>
      </c>
      <c r="D288" s="152"/>
      <c r="E288" s="153"/>
      <c r="F288" s="153"/>
      <c r="G288" s="153"/>
      <c r="H288" s="153"/>
      <c r="I288" s="154"/>
      <c r="J288" s="153"/>
      <c r="K288" s="153"/>
      <c r="L288" s="153"/>
      <c r="M288" s="153"/>
      <c r="N288" s="153"/>
      <c r="O288" s="155"/>
      <c r="P288" s="152"/>
      <c r="Q288" s="153"/>
      <c r="R288" s="153"/>
      <c r="S288" s="153"/>
      <c r="T288" s="154"/>
    </row>
    <row r="289">
      <c r="A289" s="156">
        <v>2211000.0</v>
      </c>
      <c r="B289" s="157" t="s">
        <v>1797</v>
      </c>
      <c r="C289" s="158">
        <v>4.0</v>
      </c>
      <c r="D289" s="159"/>
      <c r="E289" s="160"/>
      <c r="F289" s="160"/>
      <c r="G289" s="160"/>
      <c r="H289" s="160"/>
      <c r="I289" s="161"/>
      <c r="J289" s="160"/>
      <c r="K289" s="160"/>
      <c r="L289" s="160"/>
      <c r="M289" s="160"/>
      <c r="N289" s="160"/>
      <c r="O289" s="162"/>
      <c r="P289" s="159"/>
      <c r="Q289" s="160"/>
      <c r="R289" s="160"/>
      <c r="S289" s="160"/>
      <c r="T289" s="161"/>
    </row>
    <row r="290">
      <c r="A290" s="163">
        <v>2211003.0</v>
      </c>
      <c r="B290" s="164" t="s">
        <v>723</v>
      </c>
      <c r="C290" s="165">
        <v>7.0</v>
      </c>
      <c r="D290" s="166">
        <v>1.0</v>
      </c>
      <c r="E290" s="167">
        <v>1.0</v>
      </c>
      <c r="F290" s="167">
        <v>1.0</v>
      </c>
      <c r="G290" s="167">
        <v>1.0</v>
      </c>
      <c r="H290" s="167">
        <v>1.0</v>
      </c>
      <c r="I290" s="168">
        <v>1.0</v>
      </c>
      <c r="J290" s="167">
        <v>1.0</v>
      </c>
      <c r="K290" s="167">
        <v>1.0</v>
      </c>
      <c r="L290" s="167">
        <v>1.0</v>
      </c>
      <c r="M290" s="167">
        <v>1.0</v>
      </c>
      <c r="N290" s="167">
        <v>1.0</v>
      </c>
      <c r="O290" s="169">
        <v>1.0</v>
      </c>
      <c r="P290" s="166">
        <v>1.0</v>
      </c>
      <c r="Q290" s="167">
        <v>1.0</v>
      </c>
      <c r="R290" s="167">
        <v>1.0</v>
      </c>
      <c r="S290" s="167">
        <v>1.0</v>
      </c>
      <c r="T290" s="168">
        <v>1.0</v>
      </c>
      <c r="U290" s="170">
        <f>if(I290+O290&gt;0,1,"")</f>
        <v>1</v>
      </c>
      <c r="V290" s="170">
        <f>if(T290&gt;0,1,"")</f>
        <v>1</v>
      </c>
    </row>
    <row r="291">
      <c r="A291" s="156">
        <v>2212000.0</v>
      </c>
      <c r="B291" s="157" t="s">
        <v>1798</v>
      </c>
      <c r="C291" s="158">
        <v>4.0</v>
      </c>
      <c r="D291" s="159"/>
      <c r="E291" s="160"/>
      <c r="F291" s="160"/>
      <c r="G291" s="160"/>
      <c r="H291" s="160"/>
      <c r="I291" s="161"/>
      <c r="J291" s="160"/>
      <c r="K291" s="160"/>
      <c r="L291" s="160"/>
      <c r="M291" s="160"/>
      <c r="N291" s="160"/>
      <c r="O291" s="162"/>
      <c r="P291" s="159"/>
      <c r="Q291" s="160"/>
      <c r="R291" s="160"/>
      <c r="S291" s="160"/>
      <c r="T291" s="161"/>
    </row>
    <row r="292">
      <c r="A292" s="163">
        <v>2212002.0</v>
      </c>
      <c r="B292" s="164" t="s">
        <v>727</v>
      </c>
      <c r="C292" s="165">
        <v>7.0</v>
      </c>
      <c r="D292" s="166">
        <v>1.0</v>
      </c>
      <c r="E292" s="167">
        <v>1.0</v>
      </c>
      <c r="F292" s="167">
        <v>1.0</v>
      </c>
      <c r="G292" s="167">
        <v>1.0</v>
      </c>
      <c r="H292" s="167">
        <v>1.0</v>
      </c>
      <c r="I292" s="168">
        <v>1.0</v>
      </c>
      <c r="J292" s="178"/>
      <c r="K292" s="167">
        <v>1.0</v>
      </c>
      <c r="L292" s="167">
        <v>1.0</v>
      </c>
      <c r="M292" s="167">
        <v>1.0</v>
      </c>
      <c r="N292" s="167">
        <v>1.0</v>
      </c>
      <c r="O292" s="169">
        <v>1.0</v>
      </c>
      <c r="P292" s="166">
        <v>1.0</v>
      </c>
      <c r="Q292" s="167">
        <v>1.0</v>
      </c>
      <c r="R292" s="167">
        <v>1.0</v>
      </c>
      <c r="S292" s="167">
        <v>1.0</v>
      </c>
      <c r="T292" s="168">
        <v>1.0</v>
      </c>
      <c r="U292" s="170">
        <f>if(I292+O292&gt;0,1,"")</f>
        <v>1</v>
      </c>
      <c r="V292" s="170">
        <f>if(T292&gt;0,1,"")</f>
        <v>1</v>
      </c>
    </row>
    <row r="293">
      <c r="A293" s="156">
        <v>2213000.0</v>
      </c>
      <c r="B293" s="157" t="s">
        <v>1799</v>
      </c>
      <c r="C293" s="158">
        <v>4.0</v>
      </c>
      <c r="D293" s="159"/>
      <c r="E293" s="160"/>
      <c r="F293" s="160"/>
      <c r="G293" s="160"/>
      <c r="H293" s="160"/>
      <c r="I293" s="161"/>
      <c r="J293" s="160"/>
      <c r="K293" s="160"/>
      <c r="L293" s="160"/>
      <c r="M293" s="160"/>
      <c r="N293" s="160"/>
      <c r="O293" s="162"/>
      <c r="P293" s="159"/>
      <c r="Q293" s="160"/>
      <c r="R293" s="160"/>
      <c r="S293" s="160"/>
      <c r="T293" s="161"/>
    </row>
    <row r="294">
      <c r="A294" s="163">
        <v>2213003.0</v>
      </c>
      <c r="B294" s="164" t="s">
        <v>733</v>
      </c>
      <c r="C294" s="165">
        <v>7.0</v>
      </c>
      <c r="D294" s="166">
        <v>1.0</v>
      </c>
      <c r="E294" s="167">
        <v>1.0</v>
      </c>
      <c r="F294" s="167">
        <v>1.0</v>
      </c>
      <c r="G294" s="167">
        <v>1.0</v>
      </c>
      <c r="H294" s="167">
        <v>1.0</v>
      </c>
      <c r="I294" s="168">
        <v>1.0</v>
      </c>
      <c r="J294" s="167">
        <v>1.0</v>
      </c>
      <c r="K294" s="167">
        <v>1.0</v>
      </c>
      <c r="L294" s="167">
        <v>1.0</v>
      </c>
      <c r="M294" s="167">
        <v>1.0</v>
      </c>
      <c r="N294" s="167">
        <v>1.0</v>
      </c>
      <c r="O294" s="169">
        <v>1.0</v>
      </c>
      <c r="P294" s="166">
        <v>1.0</v>
      </c>
      <c r="Q294" s="167">
        <v>1.0</v>
      </c>
      <c r="R294" s="167">
        <v>1.0</v>
      </c>
      <c r="S294" s="167">
        <v>1.0</v>
      </c>
      <c r="T294" s="168">
        <v>1.0</v>
      </c>
      <c r="U294" s="170">
        <f>if(I294+O294&gt;0,1,"")</f>
        <v>1</v>
      </c>
      <c r="V294" s="170">
        <f>if(T294&gt;0,1,"")</f>
        <v>1</v>
      </c>
    </row>
    <row r="295">
      <c r="A295" s="149">
        <v>2220000.0</v>
      </c>
      <c r="B295" s="150" t="s">
        <v>1800</v>
      </c>
      <c r="C295" s="151">
        <v>3.0</v>
      </c>
      <c r="D295" s="152"/>
      <c r="E295" s="153"/>
      <c r="F295" s="153"/>
      <c r="G295" s="153"/>
      <c r="H295" s="153"/>
      <c r="I295" s="154"/>
      <c r="J295" s="153"/>
      <c r="K295" s="153"/>
      <c r="L295" s="153"/>
      <c r="M295" s="153"/>
      <c r="N295" s="153"/>
      <c r="O295" s="155"/>
      <c r="P295" s="152"/>
      <c r="Q295" s="153"/>
      <c r="R295" s="153"/>
      <c r="S295" s="153"/>
      <c r="T295" s="154"/>
    </row>
    <row r="296">
      <c r="A296" s="156">
        <v>2221000.0</v>
      </c>
      <c r="B296" s="157" t="s">
        <v>1801</v>
      </c>
      <c r="C296" s="158">
        <v>4.0</v>
      </c>
      <c r="D296" s="159"/>
      <c r="E296" s="160"/>
      <c r="F296" s="160"/>
      <c r="G296" s="160"/>
      <c r="H296" s="160"/>
      <c r="I296" s="161"/>
      <c r="J296" s="160"/>
      <c r="K296" s="160"/>
      <c r="L296" s="160"/>
      <c r="M296" s="160"/>
      <c r="N296" s="160"/>
      <c r="O296" s="162"/>
      <c r="P296" s="159"/>
      <c r="Q296" s="160"/>
      <c r="R296" s="160"/>
      <c r="S296" s="160"/>
      <c r="T296" s="161"/>
    </row>
    <row r="297">
      <c r="A297" s="163">
        <v>2221003.0</v>
      </c>
      <c r="B297" s="164" t="s">
        <v>739</v>
      </c>
      <c r="C297" s="165">
        <v>7.0</v>
      </c>
      <c r="D297" s="166">
        <v>1.0</v>
      </c>
      <c r="E297" s="167">
        <v>1.0</v>
      </c>
      <c r="F297" s="167">
        <v>1.0</v>
      </c>
      <c r="G297" s="167">
        <v>1.0</v>
      </c>
      <c r="H297" s="167">
        <v>1.0</v>
      </c>
      <c r="I297" s="168">
        <v>1.0</v>
      </c>
      <c r="J297" s="167">
        <v>1.0</v>
      </c>
      <c r="K297" s="167">
        <v>1.0</v>
      </c>
      <c r="L297" s="167">
        <v>1.0</v>
      </c>
      <c r="M297" s="167">
        <v>1.0</v>
      </c>
      <c r="N297" s="167">
        <v>1.0</v>
      </c>
      <c r="O297" s="169">
        <v>1.0</v>
      </c>
      <c r="P297" s="166">
        <v>1.0</v>
      </c>
      <c r="Q297" s="167">
        <v>1.0</v>
      </c>
      <c r="R297" s="167">
        <v>1.0</v>
      </c>
      <c r="S297" s="167">
        <v>1.0</v>
      </c>
      <c r="T297" s="168">
        <v>1.0</v>
      </c>
      <c r="U297" s="170">
        <f>if(I297+O297&gt;0,1,"")</f>
        <v>1</v>
      </c>
      <c r="V297" s="170">
        <f>if(T297&gt;0,1,"")</f>
        <v>1</v>
      </c>
    </row>
    <row r="298">
      <c r="A298" s="156">
        <v>2222000.0</v>
      </c>
      <c r="B298" s="157" t="s">
        <v>1802</v>
      </c>
      <c r="C298" s="158">
        <v>4.0</v>
      </c>
      <c r="D298" s="159"/>
      <c r="E298" s="160"/>
      <c r="F298" s="160"/>
      <c r="G298" s="160"/>
      <c r="H298" s="160"/>
      <c r="I298" s="161"/>
      <c r="J298" s="160"/>
      <c r="K298" s="160"/>
      <c r="L298" s="160"/>
      <c r="M298" s="160"/>
      <c r="N298" s="160"/>
      <c r="O298" s="162"/>
      <c r="P298" s="159"/>
      <c r="Q298" s="160"/>
      <c r="R298" s="160"/>
      <c r="S298" s="160"/>
      <c r="T298" s="161"/>
    </row>
    <row r="299">
      <c r="A299" s="163">
        <v>2222002.0</v>
      </c>
      <c r="B299" s="164" t="s">
        <v>743</v>
      </c>
      <c r="C299" s="165">
        <v>7.0</v>
      </c>
      <c r="D299" s="166">
        <v>1.0</v>
      </c>
      <c r="E299" s="167">
        <v>1.0</v>
      </c>
      <c r="F299" s="167">
        <v>1.0</v>
      </c>
      <c r="G299" s="167">
        <v>1.0</v>
      </c>
      <c r="H299" s="167">
        <v>1.0</v>
      </c>
      <c r="I299" s="168">
        <v>1.0</v>
      </c>
      <c r="J299" s="178"/>
      <c r="K299" s="178"/>
      <c r="L299" s="167">
        <v>1.0</v>
      </c>
      <c r="M299" s="167">
        <v>1.0</v>
      </c>
      <c r="N299" s="167">
        <v>1.0</v>
      </c>
      <c r="O299" s="169">
        <v>1.0</v>
      </c>
      <c r="P299" s="166">
        <v>1.0</v>
      </c>
      <c r="Q299" s="167">
        <v>1.0</v>
      </c>
      <c r="R299" s="167">
        <v>1.0</v>
      </c>
      <c r="S299" s="167">
        <v>1.0</v>
      </c>
      <c r="T299" s="168">
        <v>1.0</v>
      </c>
      <c r="U299" s="170">
        <f>if(I299+O299&gt;0,1,"")</f>
        <v>1</v>
      </c>
      <c r="V299" s="170">
        <f>if(T299&gt;0,1,"")</f>
        <v>1</v>
      </c>
    </row>
    <row r="300">
      <c r="A300" s="156">
        <v>2223000.0</v>
      </c>
      <c r="B300" s="157" t="s">
        <v>1803</v>
      </c>
      <c r="C300" s="158">
        <v>4.0</v>
      </c>
      <c r="D300" s="159"/>
      <c r="E300" s="160"/>
      <c r="F300" s="160"/>
      <c r="G300" s="160"/>
      <c r="H300" s="160"/>
      <c r="I300" s="161"/>
      <c r="J300" s="160"/>
      <c r="K300" s="160"/>
      <c r="L300" s="160"/>
      <c r="M300" s="160"/>
      <c r="N300" s="160"/>
      <c r="O300" s="162"/>
      <c r="P300" s="159"/>
      <c r="Q300" s="160"/>
      <c r="R300" s="160"/>
      <c r="S300" s="160"/>
      <c r="T300" s="161"/>
    </row>
    <row r="301">
      <c r="A301" s="163">
        <v>2223003.0</v>
      </c>
      <c r="B301" s="164" t="s">
        <v>749</v>
      </c>
      <c r="C301" s="165">
        <v>7.0</v>
      </c>
      <c r="D301" s="166">
        <v>1.0</v>
      </c>
      <c r="E301" s="167">
        <v>1.0</v>
      </c>
      <c r="F301" s="167">
        <v>1.0</v>
      </c>
      <c r="G301" s="167">
        <v>1.0</v>
      </c>
      <c r="H301" s="167">
        <v>1.0</v>
      </c>
      <c r="I301" s="168">
        <v>1.0</v>
      </c>
      <c r="J301" s="167">
        <v>1.0</v>
      </c>
      <c r="K301" s="167">
        <v>1.0</v>
      </c>
      <c r="L301" s="167">
        <v>1.0</v>
      </c>
      <c r="M301" s="167">
        <v>1.0</v>
      </c>
      <c r="N301" s="167">
        <v>1.0</v>
      </c>
      <c r="O301" s="169">
        <v>1.0</v>
      </c>
      <c r="P301" s="166">
        <v>1.0</v>
      </c>
      <c r="Q301" s="167">
        <v>1.0</v>
      </c>
      <c r="R301" s="167">
        <v>1.0</v>
      </c>
      <c r="S301" s="167">
        <v>1.0</v>
      </c>
      <c r="T301" s="168">
        <v>1.0</v>
      </c>
      <c r="U301" s="170">
        <f>if(I301+O301&gt;0,1,"")</f>
        <v>1</v>
      </c>
      <c r="V301" s="170">
        <f>if(T301&gt;0,1,"")</f>
        <v>1</v>
      </c>
    </row>
    <row r="302">
      <c r="A302" s="149">
        <v>2230000.0</v>
      </c>
      <c r="B302" s="150" t="s">
        <v>1804</v>
      </c>
      <c r="C302" s="151">
        <v>3.0</v>
      </c>
      <c r="D302" s="152"/>
      <c r="E302" s="153"/>
      <c r="F302" s="153"/>
      <c r="G302" s="153"/>
      <c r="H302" s="153"/>
      <c r="I302" s="154"/>
      <c r="J302" s="153"/>
      <c r="K302" s="153"/>
      <c r="L302" s="153"/>
      <c r="M302" s="153"/>
      <c r="N302" s="153"/>
      <c r="O302" s="155"/>
      <c r="P302" s="152"/>
      <c r="Q302" s="153"/>
      <c r="R302" s="153"/>
      <c r="S302" s="153"/>
      <c r="T302" s="154"/>
    </row>
    <row r="303">
      <c r="A303" s="156">
        <v>2231000.0</v>
      </c>
      <c r="B303" s="157" t="s">
        <v>1805</v>
      </c>
      <c r="C303" s="158">
        <v>4.0</v>
      </c>
      <c r="D303" s="159"/>
      <c r="E303" s="160"/>
      <c r="F303" s="160"/>
      <c r="G303" s="160"/>
      <c r="H303" s="160"/>
      <c r="I303" s="161"/>
      <c r="J303" s="160"/>
      <c r="K303" s="160"/>
      <c r="L303" s="160"/>
      <c r="M303" s="160"/>
      <c r="N303" s="160"/>
      <c r="O303" s="162"/>
      <c r="P303" s="159"/>
      <c r="Q303" s="160"/>
      <c r="R303" s="160"/>
      <c r="S303" s="160"/>
      <c r="T303" s="161"/>
    </row>
    <row r="304">
      <c r="A304" s="163">
        <v>2231002.0</v>
      </c>
      <c r="B304" s="164" t="s">
        <v>753</v>
      </c>
      <c r="C304" s="165">
        <v>7.0</v>
      </c>
      <c r="D304" s="166">
        <v>1.0</v>
      </c>
      <c r="E304" s="167">
        <v>1.0</v>
      </c>
      <c r="F304" s="167">
        <v>1.0</v>
      </c>
      <c r="G304" s="167">
        <v>1.0</v>
      </c>
      <c r="H304" s="167">
        <v>1.0</v>
      </c>
      <c r="I304" s="168">
        <v>1.0</v>
      </c>
      <c r="J304" s="167">
        <v>1.0</v>
      </c>
      <c r="K304" s="167">
        <v>1.0</v>
      </c>
      <c r="L304" s="167">
        <v>1.0</v>
      </c>
      <c r="M304" s="167">
        <v>1.0</v>
      </c>
      <c r="N304" s="167">
        <v>1.0</v>
      </c>
      <c r="O304" s="169">
        <v>1.0</v>
      </c>
      <c r="P304" s="166">
        <v>1.0</v>
      </c>
      <c r="Q304" s="167">
        <v>1.0</v>
      </c>
      <c r="R304" s="167">
        <v>1.0</v>
      </c>
      <c r="S304" s="167">
        <v>1.0</v>
      </c>
      <c r="T304" s="168">
        <v>1.0</v>
      </c>
      <c r="U304" s="170">
        <f>if(I304+O304&gt;0,1,"")</f>
        <v>1</v>
      </c>
      <c r="V304" s="170">
        <f>if(T304&gt;0,1,"")</f>
        <v>1</v>
      </c>
    </row>
    <row r="305">
      <c r="A305" s="156">
        <v>2232000.0</v>
      </c>
      <c r="B305" s="157" t="s">
        <v>1806</v>
      </c>
      <c r="C305" s="158">
        <v>4.0</v>
      </c>
      <c r="D305" s="159"/>
      <c r="E305" s="160"/>
      <c r="F305" s="160"/>
      <c r="G305" s="160"/>
      <c r="H305" s="160"/>
      <c r="I305" s="161"/>
      <c r="J305" s="160"/>
      <c r="K305" s="160"/>
      <c r="L305" s="160"/>
      <c r="M305" s="160"/>
      <c r="N305" s="160"/>
      <c r="O305" s="162"/>
      <c r="P305" s="159"/>
      <c r="Q305" s="160"/>
      <c r="R305" s="160"/>
      <c r="S305" s="160"/>
      <c r="T305" s="161"/>
    </row>
    <row r="306">
      <c r="A306" s="163">
        <v>2232002.0</v>
      </c>
      <c r="B306" s="164" t="s">
        <v>757</v>
      </c>
      <c r="C306" s="165">
        <v>7.0</v>
      </c>
      <c r="D306" s="166">
        <v>1.0</v>
      </c>
      <c r="E306" s="167">
        <v>1.0</v>
      </c>
      <c r="F306" s="167">
        <v>1.0</v>
      </c>
      <c r="G306" s="167">
        <v>1.0</v>
      </c>
      <c r="H306" s="167">
        <v>1.0</v>
      </c>
      <c r="I306" s="168">
        <v>1.0</v>
      </c>
      <c r="J306" s="167">
        <v>1.0</v>
      </c>
      <c r="K306" s="178"/>
      <c r="L306" s="167">
        <v>1.0</v>
      </c>
      <c r="M306" s="167">
        <v>1.0</v>
      </c>
      <c r="N306" s="167">
        <v>1.0</v>
      </c>
      <c r="O306" s="169">
        <v>1.0</v>
      </c>
      <c r="P306" s="180"/>
      <c r="Q306" s="167">
        <v>1.0</v>
      </c>
      <c r="R306" s="167">
        <v>1.0</v>
      </c>
      <c r="S306" s="167">
        <v>1.0</v>
      </c>
      <c r="T306" s="168">
        <v>1.0</v>
      </c>
      <c r="U306" s="170">
        <f>if(I306+O306&gt;0,1,"")</f>
        <v>1</v>
      </c>
      <c r="V306" s="170">
        <f>if(T306&gt;0,1,"")</f>
        <v>1</v>
      </c>
    </row>
    <row r="307">
      <c r="A307" s="156">
        <v>2233000.0</v>
      </c>
      <c r="B307" s="157" t="s">
        <v>1807</v>
      </c>
      <c r="C307" s="158">
        <v>4.0</v>
      </c>
      <c r="D307" s="159"/>
      <c r="E307" s="160"/>
      <c r="F307" s="160"/>
      <c r="G307" s="160"/>
      <c r="H307" s="160"/>
      <c r="I307" s="161"/>
      <c r="J307" s="160"/>
      <c r="K307" s="160"/>
      <c r="L307" s="160"/>
      <c r="M307" s="160"/>
      <c r="N307" s="160"/>
      <c r="O307" s="162"/>
      <c r="P307" s="159"/>
      <c r="Q307" s="160"/>
      <c r="R307" s="160"/>
      <c r="S307" s="160"/>
      <c r="T307" s="161"/>
    </row>
    <row r="308">
      <c r="A308" s="163">
        <v>2233002.0</v>
      </c>
      <c r="B308" s="164" t="s">
        <v>761</v>
      </c>
      <c r="C308" s="165">
        <v>7.0</v>
      </c>
      <c r="D308" s="166">
        <v>1.0</v>
      </c>
      <c r="E308" s="167">
        <v>1.0</v>
      </c>
      <c r="F308" s="167">
        <v>1.0</v>
      </c>
      <c r="G308" s="167">
        <v>1.0</v>
      </c>
      <c r="H308" s="167">
        <v>1.0</v>
      </c>
      <c r="I308" s="168">
        <v>1.0</v>
      </c>
      <c r="J308" s="167">
        <v>1.0</v>
      </c>
      <c r="K308" s="167">
        <v>1.0</v>
      </c>
      <c r="L308" s="167">
        <v>1.0</v>
      </c>
      <c r="M308" s="167">
        <v>1.0</v>
      </c>
      <c r="N308" s="167">
        <v>1.0</v>
      </c>
      <c r="O308" s="169">
        <v>1.0</v>
      </c>
      <c r="P308" s="166">
        <v>1.0</v>
      </c>
      <c r="Q308" s="167">
        <v>1.0</v>
      </c>
      <c r="R308" s="167">
        <v>1.0</v>
      </c>
      <c r="S308" s="167">
        <v>1.0</v>
      </c>
      <c r="T308" s="168">
        <v>1.0</v>
      </c>
      <c r="U308" s="170">
        <f>if(I308+O308&gt;0,1,"")</f>
        <v>1</v>
      </c>
      <c r="V308" s="170">
        <f>if(T308&gt;0,1,"")</f>
        <v>1</v>
      </c>
    </row>
    <row r="309">
      <c r="A309" s="149">
        <v>2240000.0</v>
      </c>
      <c r="B309" s="150" t="s">
        <v>1808</v>
      </c>
      <c r="C309" s="151">
        <v>3.0</v>
      </c>
      <c r="D309" s="152"/>
      <c r="E309" s="153"/>
      <c r="F309" s="153"/>
      <c r="G309" s="153"/>
      <c r="H309" s="153"/>
      <c r="I309" s="154"/>
      <c r="J309" s="153"/>
      <c r="K309" s="153"/>
      <c r="L309" s="153"/>
      <c r="M309" s="153"/>
      <c r="N309" s="153"/>
      <c r="O309" s="155"/>
      <c r="P309" s="152"/>
      <c r="Q309" s="153"/>
      <c r="R309" s="153"/>
      <c r="S309" s="153"/>
      <c r="T309" s="154"/>
    </row>
    <row r="310">
      <c r="A310" s="156">
        <v>2241000.0</v>
      </c>
      <c r="B310" s="157" t="s">
        <v>1809</v>
      </c>
      <c r="C310" s="158">
        <v>4.0</v>
      </c>
      <c r="D310" s="159"/>
      <c r="E310" s="160"/>
      <c r="F310" s="160"/>
      <c r="G310" s="160"/>
      <c r="H310" s="160"/>
      <c r="I310" s="161"/>
      <c r="J310" s="160"/>
      <c r="K310" s="160"/>
      <c r="L310" s="160"/>
      <c r="M310" s="160"/>
      <c r="N310" s="160"/>
      <c r="O310" s="162"/>
      <c r="P310" s="159"/>
      <c r="Q310" s="160"/>
      <c r="R310" s="160"/>
      <c r="S310" s="160"/>
      <c r="T310" s="161"/>
    </row>
    <row r="311">
      <c r="A311" s="163">
        <v>2241001.0</v>
      </c>
      <c r="B311" s="164" t="s">
        <v>765</v>
      </c>
      <c r="C311" s="165">
        <v>7.0</v>
      </c>
      <c r="D311" s="166">
        <v>1.0</v>
      </c>
      <c r="E311" s="167">
        <v>1.0</v>
      </c>
      <c r="F311" s="167">
        <v>1.0</v>
      </c>
      <c r="G311" s="167">
        <v>1.0</v>
      </c>
      <c r="H311" s="167">
        <v>1.0</v>
      </c>
      <c r="I311" s="168">
        <v>1.0</v>
      </c>
      <c r="J311" s="167">
        <v>1.0</v>
      </c>
      <c r="K311" s="167">
        <v>1.0</v>
      </c>
      <c r="L311" s="178"/>
      <c r="M311" s="167">
        <v>1.0</v>
      </c>
      <c r="N311" s="167">
        <v>1.0</v>
      </c>
      <c r="O311" s="169">
        <v>1.0</v>
      </c>
      <c r="P311" s="166">
        <v>1.0</v>
      </c>
      <c r="Q311" s="167">
        <v>1.0</v>
      </c>
      <c r="R311" s="167">
        <v>1.0</v>
      </c>
      <c r="S311" s="167">
        <v>1.0</v>
      </c>
      <c r="T311" s="168">
        <v>1.0</v>
      </c>
      <c r="U311" s="170">
        <f>if(I311+O311&gt;0,1,"")</f>
        <v>1</v>
      </c>
      <c r="V311" s="170">
        <f>if(T311&gt;0,1,"")</f>
        <v>1</v>
      </c>
    </row>
    <row r="312">
      <c r="A312" s="136">
        <v>3000000.0</v>
      </c>
      <c r="B312" s="137" t="s">
        <v>1810</v>
      </c>
      <c r="C312" s="131">
        <v>1.0</v>
      </c>
      <c r="D312" s="138"/>
      <c r="E312" s="139"/>
      <c r="F312" s="139"/>
      <c r="G312" s="139"/>
      <c r="H312" s="139"/>
      <c r="I312" s="140"/>
      <c r="J312" s="139"/>
      <c r="K312" s="139"/>
      <c r="L312" s="139"/>
      <c r="M312" s="139"/>
      <c r="N312" s="139"/>
      <c r="O312" s="141"/>
      <c r="P312" s="138"/>
      <c r="Q312" s="139"/>
      <c r="R312" s="139"/>
      <c r="S312" s="139"/>
      <c r="T312" s="140"/>
    </row>
    <row r="313">
      <c r="A313" s="142">
        <v>3100000.0</v>
      </c>
      <c r="B313" s="143" t="s">
        <v>1811</v>
      </c>
      <c r="C313" s="144">
        <v>2.0</v>
      </c>
      <c r="D313" s="145"/>
      <c r="E313" s="146"/>
      <c r="F313" s="146"/>
      <c r="G313" s="146"/>
      <c r="H313" s="146"/>
      <c r="I313" s="147"/>
      <c r="J313" s="146"/>
      <c r="K313" s="146"/>
      <c r="L313" s="146"/>
      <c r="M313" s="146"/>
      <c r="N313" s="146"/>
      <c r="O313" s="148"/>
      <c r="P313" s="145"/>
      <c r="Q313" s="146"/>
      <c r="R313" s="146"/>
      <c r="S313" s="146"/>
      <c r="T313" s="147"/>
    </row>
    <row r="314">
      <c r="A314" s="149">
        <v>3110000.0</v>
      </c>
      <c r="B314" s="150" t="s">
        <v>1812</v>
      </c>
      <c r="C314" s="151">
        <v>3.0</v>
      </c>
      <c r="D314" s="152"/>
      <c r="E314" s="153"/>
      <c r="F314" s="153"/>
      <c r="G314" s="153"/>
      <c r="H314" s="153"/>
      <c r="I314" s="154"/>
      <c r="J314" s="153"/>
      <c r="K314" s="153"/>
      <c r="L314" s="153"/>
      <c r="M314" s="153"/>
      <c r="N314" s="153"/>
      <c r="O314" s="155"/>
      <c r="P314" s="152"/>
      <c r="Q314" s="153"/>
      <c r="R314" s="153"/>
      <c r="S314" s="153"/>
      <c r="T314" s="154"/>
    </row>
    <row r="315">
      <c r="A315" s="163">
        <v>3110001.0</v>
      </c>
      <c r="B315" s="164" t="s">
        <v>771</v>
      </c>
      <c r="C315" s="165">
        <v>7.0</v>
      </c>
      <c r="D315" s="166">
        <v>1.0</v>
      </c>
      <c r="E315" s="167">
        <v>1.0</v>
      </c>
      <c r="F315" s="167">
        <v>1.0</v>
      </c>
      <c r="G315" s="167">
        <v>1.0</v>
      </c>
      <c r="H315" s="167">
        <v>1.0</v>
      </c>
      <c r="I315" s="168">
        <v>1.0</v>
      </c>
      <c r="J315" s="167">
        <v>1.0</v>
      </c>
      <c r="K315" s="167">
        <v>1.0</v>
      </c>
      <c r="L315" s="167">
        <v>1.0</v>
      </c>
      <c r="M315" s="167">
        <v>1.0</v>
      </c>
      <c r="N315" s="167">
        <v>1.0</v>
      </c>
      <c r="O315" s="169">
        <v>1.0</v>
      </c>
      <c r="P315" s="166">
        <v>1.0</v>
      </c>
      <c r="Q315" s="167">
        <v>1.0</v>
      </c>
      <c r="R315" s="167">
        <v>1.0</v>
      </c>
      <c r="S315" s="167">
        <v>1.0</v>
      </c>
      <c r="T315" s="168">
        <v>1.0</v>
      </c>
      <c r="U315" s="170">
        <f t="shared" ref="U315:U316" si="70">if(I315+O315&gt;0,1,"")</f>
        <v>1</v>
      </c>
      <c r="V315" s="170">
        <f t="shared" ref="V315:V316" si="71">if(T315&gt;0,1,"")</f>
        <v>1</v>
      </c>
    </row>
    <row r="316">
      <c r="A316" s="163">
        <v>3110002.0</v>
      </c>
      <c r="B316" s="164" t="s">
        <v>773</v>
      </c>
      <c r="C316" s="165">
        <v>7.0</v>
      </c>
      <c r="D316" s="166">
        <v>1.0</v>
      </c>
      <c r="E316" s="167">
        <v>1.0</v>
      </c>
      <c r="F316" s="178"/>
      <c r="G316" s="178"/>
      <c r="H316" s="167">
        <v>1.0</v>
      </c>
      <c r="I316" s="168">
        <v>1.0</v>
      </c>
      <c r="J316" s="167">
        <v>1.0</v>
      </c>
      <c r="K316" s="167">
        <v>1.0</v>
      </c>
      <c r="L316" s="178"/>
      <c r="M316" s="178"/>
      <c r="N316" s="178"/>
      <c r="O316" s="169">
        <v>1.0</v>
      </c>
      <c r="P316" s="180"/>
      <c r="Q316" s="178"/>
      <c r="R316" s="178"/>
      <c r="S316" s="178"/>
      <c r="T316" s="181"/>
      <c r="U316" s="170">
        <f t="shared" si="70"/>
        <v>1</v>
      </c>
      <c r="V316" s="170" t="str">
        <f t="shared" si="71"/>
        <v/>
      </c>
    </row>
    <row r="317">
      <c r="A317" s="149">
        <v>3120000.0</v>
      </c>
      <c r="B317" s="150" t="s">
        <v>1813</v>
      </c>
      <c r="C317" s="151">
        <v>3.0</v>
      </c>
      <c r="D317" s="152"/>
      <c r="E317" s="153"/>
      <c r="F317" s="153"/>
      <c r="G317" s="153"/>
      <c r="H317" s="153"/>
      <c r="I317" s="154"/>
      <c r="J317" s="153"/>
      <c r="K317" s="153"/>
      <c r="L317" s="153"/>
      <c r="M317" s="153"/>
      <c r="N317" s="153"/>
      <c r="O317" s="155"/>
      <c r="P317" s="152"/>
      <c r="Q317" s="153"/>
      <c r="R317" s="153"/>
      <c r="S317" s="153"/>
      <c r="T317" s="154"/>
    </row>
    <row r="318">
      <c r="A318" s="163">
        <v>3120001.0</v>
      </c>
      <c r="B318" s="164" t="s">
        <v>776</v>
      </c>
      <c r="C318" s="165">
        <v>7.0</v>
      </c>
      <c r="D318" s="166">
        <v>1.0</v>
      </c>
      <c r="E318" s="167">
        <v>1.0</v>
      </c>
      <c r="F318" s="167">
        <v>1.0</v>
      </c>
      <c r="G318" s="167">
        <v>1.0</v>
      </c>
      <c r="H318" s="167">
        <v>1.0</v>
      </c>
      <c r="I318" s="168">
        <v>1.0</v>
      </c>
      <c r="J318" s="167">
        <v>1.0</v>
      </c>
      <c r="K318" s="167">
        <v>1.0</v>
      </c>
      <c r="L318" s="167">
        <v>1.0</v>
      </c>
      <c r="M318" s="167">
        <v>1.0</v>
      </c>
      <c r="N318" s="167">
        <v>1.0</v>
      </c>
      <c r="O318" s="169">
        <v>1.0</v>
      </c>
      <c r="P318" s="166">
        <v>1.0</v>
      </c>
      <c r="Q318" s="167">
        <v>1.0</v>
      </c>
      <c r="R318" s="167">
        <v>1.0</v>
      </c>
      <c r="S318" s="167">
        <v>1.0</v>
      </c>
      <c r="T318" s="168">
        <v>1.0</v>
      </c>
      <c r="U318" s="170">
        <f>if(I318+O318&gt;0,1,"")</f>
        <v>1</v>
      </c>
      <c r="V318" s="170">
        <f>if(T318&gt;0,1,"")</f>
        <v>1</v>
      </c>
    </row>
    <row r="319">
      <c r="A319" s="149">
        <v>3130000.0</v>
      </c>
      <c r="B319" s="150" t="s">
        <v>1814</v>
      </c>
      <c r="C319" s="151">
        <v>3.0</v>
      </c>
      <c r="D319" s="152"/>
      <c r="E319" s="153"/>
      <c r="F319" s="153"/>
      <c r="G319" s="153"/>
      <c r="H319" s="153"/>
      <c r="I319" s="154"/>
      <c r="J319" s="153"/>
      <c r="K319" s="153"/>
      <c r="L319" s="153"/>
      <c r="M319" s="153"/>
      <c r="N319" s="153"/>
      <c r="O319" s="155"/>
      <c r="P319" s="152"/>
      <c r="Q319" s="153"/>
      <c r="R319" s="153"/>
      <c r="S319" s="153"/>
      <c r="T319" s="154"/>
    </row>
    <row r="320">
      <c r="A320" s="163">
        <v>3130001.0</v>
      </c>
      <c r="B320" s="164" t="s">
        <v>779</v>
      </c>
      <c r="C320" s="165">
        <v>7.0</v>
      </c>
      <c r="D320" s="184"/>
      <c r="E320" s="167">
        <v>1.0</v>
      </c>
      <c r="F320" s="178"/>
      <c r="G320" s="178"/>
      <c r="H320" s="167">
        <v>1.0</v>
      </c>
      <c r="I320" s="168">
        <v>1.0</v>
      </c>
      <c r="J320" s="178"/>
      <c r="K320" s="167">
        <v>1.0</v>
      </c>
      <c r="L320" s="178"/>
      <c r="M320" s="178"/>
      <c r="N320" s="167">
        <v>1.0</v>
      </c>
      <c r="O320" s="169">
        <v>1.0</v>
      </c>
      <c r="P320" s="166">
        <v>1.0</v>
      </c>
      <c r="Q320" s="178"/>
      <c r="R320" s="167">
        <v>1.0</v>
      </c>
      <c r="S320" s="167">
        <v>1.0</v>
      </c>
      <c r="T320" s="168">
        <v>1.0</v>
      </c>
      <c r="U320" s="170">
        <f t="shared" ref="U320:U326" si="72">if(I320+O320&gt;0,1,"")</f>
        <v>1</v>
      </c>
      <c r="V320" s="170">
        <f t="shared" ref="V320:V326" si="73">if(T320&gt;0,1,"")</f>
        <v>1</v>
      </c>
    </row>
    <row r="321">
      <c r="A321" s="163">
        <v>3130002.0</v>
      </c>
      <c r="B321" s="164" t="s">
        <v>781</v>
      </c>
      <c r="C321" s="165">
        <v>7.0</v>
      </c>
      <c r="D321" s="184"/>
      <c r="E321" s="167">
        <v>1.0</v>
      </c>
      <c r="F321" s="167">
        <v>1.0</v>
      </c>
      <c r="G321" s="167">
        <v>1.0</v>
      </c>
      <c r="H321" s="167">
        <v>1.0</v>
      </c>
      <c r="I321" s="168">
        <v>1.0</v>
      </c>
      <c r="J321" s="178"/>
      <c r="K321" s="167">
        <v>1.0</v>
      </c>
      <c r="L321" s="167">
        <v>1.0</v>
      </c>
      <c r="M321" s="167">
        <v>1.0</v>
      </c>
      <c r="N321" s="167">
        <v>1.0</v>
      </c>
      <c r="O321" s="169">
        <v>1.0</v>
      </c>
      <c r="P321" s="166">
        <v>1.0</v>
      </c>
      <c r="Q321" s="167">
        <v>1.0</v>
      </c>
      <c r="R321" s="167">
        <v>1.0</v>
      </c>
      <c r="S321" s="167">
        <v>1.0</v>
      </c>
      <c r="T321" s="168">
        <v>1.0</v>
      </c>
      <c r="U321" s="170">
        <f t="shared" si="72"/>
        <v>1</v>
      </c>
      <c r="V321" s="170">
        <f t="shared" si="73"/>
        <v>1</v>
      </c>
    </row>
    <row r="322">
      <c r="A322" s="163">
        <v>3130005.0</v>
      </c>
      <c r="B322" s="164" t="s">
        <v>787</v>
      </c>
      <c r="C322" s="165">
        <v>7.0</v>
      </c>
      <c r="D322" s="184"/>
      <c r="E322" s="167">
        <v>1.0</v>
      </c>
      <c r="F322" s="167">
        <v>1.0</v>
      </c>
      <c r="G322" s="167">
        <v>1.0</v>
      </c>
      <c r="H322" s="167">
        <v>1.0</v>
      </c>
      <c r="I322" s="168">
        <v>1.0</v>
      </c>
      <c r="J322" s="178"/>
      <c r="K322" s="178"/>
      <c r="L322" s="167">
        <v>1.0</v>
      </c>
      <c r="M322" s="167">
        <v>1.0</v>
      </c>
      <c r="N322" s="167">
        <v>1.0</v>
      </c>
      <c r="O322" s="169">
        <v>1.0</v>
      </c>
      <c r="P322" s="166">
        <v>1.0</v>
      </c>
      <c r="Q322" s="167">
        <v>1.0</v>
      </c>
      <c r="R322" s="167">
        <v>1.0</v>
      </c>
      <c r="S322" s="167">
        <v>1.0</v>
      </c>
      <c r="T322" s="168">
        <v>1.0</v>
      </c>
      <c r="U322" s="170">
        <f t="shared" si="72"/>
        <v>1</v>
      </c>
      <c r="V322" s="170">
        <f t="shared" si="73"/>
        <v>1</v>
      </c>
    </row>
    <row r="323">
      <c r="A323" s="163">
        <v>3130006.0</v>
      </c>
      <c r="B323" s="164" t="s">
        <v>789</v>
      </c>
      <c r="C323" s="165">
        <v>7.0</v>
      </c>
      <c r="D323" s="166">
        <v>1.0</v>
      </c>
      <c r="E323" s="167">
        <v>1.0</v>
      </c>
      <c r="F323" s="167">
        <v>1.0</v>
      </c>
      <c r="G323" s="167">
        <v>1.0</v>
      </c>
      <c r="H323" s="167">
        <v>1.0</v>
      </c>
      <c r="I323" s="168">
        <v>1.0</v>
      </c>
      <c r="J323" s="178"/>
      <c r="K323" s="178"/>
      <c r="L323" s="178"/>
      <c r="M323" s="178"/>
      <c r="N323" s="178"/>
      <c r="O323" s="179"/>
      <c r="P323" s="166">
        <v>1.0</v>
      </c>
      <c r="Q323" s="167">
        <v>1.0</v>
      </c>
      <c r="R323" s="167">
        <v>1.0</v>
      </c>
      <c r="S323" s="167">
        <v>1.0</v>
      </c>
      <c r="T323" s="168">
        <v>1.0</v>
      </c>
      <c r="U323" s="170">
        <f t="shared" si="72"/>
        <v>1</v>
      </c>
      <c r="V323" s="170">
        <f t="shared" si="73"/>
        <v>1</v>
      </c>
    </row>
    <row r="324">
      <c r="A324" s="163">
        <v>3130007.0</v>
      </c>
      <c r="B324" s="164" t="s">
        <v>791</v>
      </c>
      <c r="C324" s="165">
        <v>7.0</v>
      </c>
      <c r="D324" s="184"/>
      <c r="E324" s="178"/>
      <c r="F324" s="178"/>
      <c r="G324" s="167">
        <v>1.0</v>
      </c>
      <c r="H324" s="167">
        <v>1.0</v>
      </c>
      <c r="I324" s="168">
        <v>1.0</v>
      </c>
      <c r="J324" s="178"/>
      <c r="K324" s="178"/>
      <c r="L324" s="178"/>
      <c r="M324" s="178"/>
      <c r="N324" s="178"/>
      <c r="O324" s="179"/>
      <c r="P324" s="166">
        <v>1.0</v>
      </c>
      <c r="Q324" s="167">
        <v>1.0</v>
      </c>
      <c r="R324" s="178"/>
      <c r="S324" s="167">
        <v>1.0</v>
      </c>
      <c r="T324" s="168">
        <v>1.0</v>
      </c>
      <c r="U324" s="170">
        <f t="shared" si="72"/>
        <v>1</v>
      </c>
      <c r="V324" s="170">
        <f t="shared" si="73"/>
        <v>1</v>
      </c>
    </row>
    <row r="325">
      <c r="A325" s="163">
        <v>3130008.0</v>
      </c>
      <c r="B325" s="164" t="s">
        <v>794</v>
      </c>
      <c r="C325" s="165">
        <v>7.0</v>
      </c>
      <c r="D325" s="166">
        <v>1.0</v>
      </c>
      <c r="E325" s="167">
        <v>1.0</v>
      </c>
      <c r="F325" s="167">
        <v>1.0</v>
      </c>
      <c r="G325" s="167">
        <v>1.0</v>
      </c>
      <c r="H325" s="167">
        <v>1.0</v>
      </c>
      <c r="I325" s="168">
        <v>1.0</v>
      </c>
      <c r="J325" s="178"/>
      <c r="K325" s="178"/>
      <c r="L325" s="178"/>
      <c r="M325" s="167">
        <v>1.0</v>
      </c>
      <c r="N325" s="167">
        <v>1.0</v>
      </c>
      <c r="O325" s="169">
        <v>1.0</v>
      </c>
      <c r="P325" s="166">
        <v>1.0</v>
      </c>
      <c r="Q325" s="167">
        <v>1.0</v>
      </c>
      <c r="R325" s="167">
        <v>1.0</v>
      </c>
      <c r="S325" s="167">
        <v>1.0</v>
      </c>
      <c r="T325" s="168">
        <v>1.0</v>
      </c>
      <c r="U325" s="170">
        <f t="shared" si="72"/>
        <v>1</v>
      </c>
      <c r="V325" s="170">
        <f t="shared" si="73"/>
        <v>1</v>
      </c>
    </row>
    <row r="326">
      <c r="A326" s="163">
        <v>3130010.0</v>
      </c>
      <c r="B326" s="164" t="s">
        <v>798</v>
      </c>
      <c r="C326" s="165">
        <v>7.0</v>
      </c>
      <c r="D326" s="166">
        <v>1.0</v>
      </c>
      <c r="E326" s="178"/>
      <c r="F326" s="167">
        <v>1.0</v>
      </c>
      <c r="G326" s="167">
        <v>1.0</v>
      </c>
      <c r="H326" s="167">
        <v>1.0</v>
      </c>
      <c r="I326" s="168">
        <v>1.0</v>
      </c>
      <c r="J326" s="178"/>
      <c r="K326" s="167">
        <v>1.0</v>
      </c>
      <c r="L326" s="167">
        <v>1.0</v>
      </c>
      <c r="M326" s="167">
        <v>1.0</v>
      </c>
      <c r="N326" s="167">
        <v>1.0</v>
      </c>
      <c r="O326" s="169">
        <v>1.0</v>
      </c>
      <c r="P326" s="166">
        <v>1.0</v>
      </c>
      <c r="Q326" s="167">
        <v>1.0</v>
      </c>
      <c r="R326" s="167">
        <v>1.0</v>
      </c>
      <c r="S326" s="167">
        <v>1.0</v>
      </c>
      <c r="T326" s="168">
        <v>1.0</v>
      </c>
      <c r="U326" s="170">
        <f t="shared" si="72"/>
        <v>1</v>
      </c>
      <c r="V326" s="170">
        <f t="shared" si="73"/>
        <v>1</v>
      </c>
    </row>
    <row r="327">
      <c r="A327" s="149">
        <v>3140000.0</v>
      </c>
      <c r="B327" s="150" t="s">
        <v>1815</v>
      </c>
      <c r="C327" s="151">
        <v>3.0</v>
      </c>
      <c r="D327" s="152"/>
      <c r="E327" s="153"/>
      <c r="F327" s="153"/>
      <c r="G327" s="153"/>
      <c r="H327" s="153"/>
      <c r="I327" s="154"/>
      <c r="J327" s="153"/>
      <c r="K327" s="153"/>
      <c r="L327" s="153"/>
      <c r="M327" s="153"/>
      <c r="N327" s="153"/>
      <c r="O327" s="155"/>
      <c r="P327" s="152"/>
      <c r="Q327" s="153"/>
      <c r="R327" s="153"/>
      <c r="S327" s="153"/>
      <c r="T327" s="154"/>
    </row>
    <row r="328">
      <c r="A328" s="163">
        <v>3140001.0</v>
      </c>
      <c r="B328" s="164" t="s">
        <v>801</v>
      </c>
      <c r="C328" s="165">
        <v>7.0</v>
      </c>
      <c r="D328" s="166">
        <v>1.0</v>
      </c>
      <c r="E328" s="167">
        <v>1.0</v>
      </c>
      <c r="F328" s="167">
        <v>1.0</v>
      </c>
      <c r="G328" s="167">
        <v>1.0</v>
      </c>
      <c r="H328" s="167">
        <v>1.0</v>
      </c>
      <c r="I328" s="168">
        <v>1.0</v>
      </c>
      <c r="J328" s="178"/>
      <c r="K328" s="178"/>
      <c r="L328" s="178"/>
      <c r="M328" s="178"/>
      <c r="N328" s="178"/>
      <c r="O328" s="179"/>
      <c r="P328" s="166">
        <v>1.0</v>
      </c>
      <c r="Q328" s="167">
        <v>1.0</v>
      </c>
      <c r="R328" s="167">
        <v>1.0</v>
      </c>
      <c r="S328" s="167">
        <v>1.0</v>
      </c>
      <c r="T328" s="168">
        <v>1.0</v>
      </c>
      <c r="U328" s="170">
        <f t="shared" ref="U328:U330" si="74">if(I328+O328&gt;0,1,"")</f>
        <v>1</v>
      </c>
      <c r="V328" s="170">
        <f t="shared" ref="V328:V330" si="75">if(T328&gt;0,1,"")</f>
        <v>1</v>
      </c>
    </row>
    <row r="329">
      <c r="A329" s="208">
        <v>3140002.0</v>
      </c>
      <c r="B329" s="209" t="s">
        <v>803</v>
      </c>
      <c r="C329" s="210">
        <v>7.0</v>
      </c>
      <c r="D329" s="211">
        <v>0.0</v>
      </c>
      <c r="E329" s="210">
        <v>0.0</v>
      </c>
      <c r="F329" s="210">
        <v>0.0</v>
      </c>
      <c r="G329" s="210">
        <v>0.0</v>
      </c>
      <c r="H329" s="210">
        <v>0.0</v>
      </c>
      <c r="I329" s="212">
        <v>0.0</v>
      </c>
      <c r="J329" s="213"/>
      <c r="K329" s="210">
        <v>1.0</v>
      </c>
      <c r="L329" s="210">
        <v>1.0</v>
      </c>
      <c r="M329" s="210">
        <v>1.0</v>
      </c>
      <c r="N329" s="210">
        <v>1.0</v>
      </c>
      <c r="O329" s="214">
        <v>1.0</v>
      </c>
      <c r="P329" s="215"/>
      <c r="Q329" s="213"/>
      <c r="R329" s="213"/>
      <c r="S329" s="213"/>
      <c r="T329" s="216"/>
      <c r="U329" s="170">
        <f t="shared" si="74"/>
        <v>1</v>
      </c>
      <c r="V329" s="170" t="str">
        <f t="shared" si="75"/>
        <v/>
      </c>
      <c r="W329" s="217"/>
      <c r="X329" s="217"/>
      <c r="Y329" s="217"/>
      <c r="Z329" s="217"/>
      <c r="AA329" s="217"/>
    </row>
    <row r="330">
      <c r="A330" s="163">
        <v>3140003.0</v>
      </c>
      <c r="B330" s="164" t="s">
        <v>805</v>
      </c>
      <c r="C330" s="165">
        <v>7.0</v>
      </c>
      <c r="D330" s="166">
        <v>1.0</v>
      </c>
      <c r="E330" s="167">
        <v>1.0</v>
      </c>
      <c r="F330" s="167">
        <v>1.0</v>
      </c>
      <c r="G330" s="167">
        <v>1.0</v>
      </c>
      <c r="H330" s="167">
        <v>1.0</v>
      </c>
      <c r="I330" s="168">
        <v>1.0</v>
      </c>
      <c r="J330" s="167">
        <v>1.0</v>
      </c>
      <c r="K330" s="167">
        <v>1.0</v>
      </c>
      <c r="L330" s="178"/>
      <c r="M330" s="167">
        <v>1.0</v>
      </c>
      <c r="N330" s="178"/>
      <c r="O330" s="169">
        <v>1.0</v>
      </c>
      <c r="P330" s="166">
        <v>1.0</v>
      </c>
      <c r="Q330" s="167">
        <v>1.0</v>
      </c>
      <c r="R330" s="167">
        <v>1.0</v>
      </c>
      <c r="S330" s="167">
        <v>1.0</v>
      </c>
      <c r="T330" s="168">
        <v>1.0</v>
      </c>
      <c r="U330" s="170">
        <f t="shared" si="74"/>
        <v>1</v>
      </c>
      <c r="V330" s="170">
        <f t="shared" si="75"/>
        <v>1</v>
      </c>
    </row>
    <row r="331">
      <c r="A331" s="149">
        <v>3150000.0</v>
      </c>
      <c r="B331" s="150" t="s">
        <v>1816</v>
      </c>
      <c r="C331" s="151">
        <v>3.0</v>
      </c>
      <c r="D331" s="218"/>
      <c r="E331" s="153"/>
      <c r="F331" s="153"/>
      <c r="G331" s="153"/>
      <c r="H331" s="153"/>
      <c r="I331" s="154"/>
      <c r="J331" s="153"/>
      <c r="K331" s="153"/>
      <c r="L331" s="153"/>
      <c r="M331" s="153"/>
      <c r="N331" s="153"/>
      <c r="O331" s="155"/>
      <c r="P331" s="152"/>
      <c r="Q331" s="153"/>
      <c r="R331" s="153"/>
      <c r="S331" s="153"/>
      <c r="T331" s="154"/>
    </row>
    <row r="332">
      <c r="A332" s="163">
        <v>3150003.0</v>
      </c>
      <c r="B332" s="164" t="s">
        <v>811</v>
      </c>
      <c r="C332" s="165">
        <v>7.0</v>
      </c>
      <c r="D332" s="166">
        <v>1.0</v>
      </c>
      <c r="E332" s="167">
        <v>1.0</v>
      </c>
      <c r="F332" s="167">
        <v>1.0</v>
      </c>
      <c r="G332" s="167">
        <v>1.0</v>
      </c>
      <c r="H332" s="167">
        <v>1.0</v>
      </c>
      <c r="I332" s="168">
        <v>1.0</v>
      </c>
      <c r="J332" s="178"/>
      <c r="K332" s="167">
        <v>1.0</v>
      </c>
      <c r="L332" s="167">
        <v>1.0</v>
      </c>
      <c r="M332" s="178"/>
      <c r="N332" s="167">
        <v>1.0</v>
      </c>
      <c r="O332" s="169">
        <v>1.0</v>
      </c>
      <c r="P332" s="166">
        <v>1.0</v>
      </c>
      <c r="Q332" s="178"/>
      <c r="R332" s="167">
        <v>1.0</v>
      </c>
      <c r="S332" s="167">
        <v>1.0</v>
      </c>
      <c r="T332" s="168">
        <v>1.0</v>
      </c>
      <c r="U332" s="170">
        <f t="shared" ref="U332:U337" si="76">if(I332+O332&gt;0,1,"")</f>
        <v>1</v>
      </c>
      <c r="V332" s="170">
        <f t="shared" ref="V332:V337" si="77">if(T332&gt;0,1,"")</f>
        <v>1</v>
      </c>
    </row>
    <row r="333">
      <c r="A333" s="163">
        <v>3150004.0</v>
      </c>
      <c r="B333" s="164" t="s">
        <v>813</v>
      </c>
      <c r="C333" s="165">
        <v>7.0</v>
      </c>
      <c r="D333" s="166">
        <v>1.0</v>
      </c>
      <c r="E333" s="167">
        <v>1.0</v>
      </c>
      <c r="F333" s="167">
        <v>1.0</v>
      </c>
      <c r="G333" s="167">
        <v>1.0</v>
      </c>
      <c r="H333" s="167">
        <v>1.0</v>
      </c>
      <c r="I333" s="168">
        <v>1.0</v>
      </c>
      <c r="J333" s="178"/>
      <c r="K333" s="167">
        <v>1.0</v>
      </c>
      <c r="L333" s="167">
        <v>1.0</v>
      </c>
      <c r="M333" s="167">
        <v>1.0</v>
      </c>
      <c r="N333" s="178"/>
      <c r="O333" s="169">
        <v>1.0</v>
      </c>
      <c r="P333" s="166">
        <v>1.0</v>
      </c>
      <c r="Q333" s="167">
        <v>1.0</v>
      </c>
      <c r="R333" s="167">
        <v>1.0</v>
      </c>
      <c r="S333" s="178"/>
      <c r="T333" s="168">
        <v>1.0</v>
      </c>
      <c r="U333" s="170">
        <f t="shared" si="76"/>
        <v>1</v>
      </c>
      <c r="V333" s="170">
        <f t="shared" si="77"/>
        <v>1</v>
      </c>
    </row>
    <row r="334">
      <c r="A334" s="163">
        <v>3150005.0</v>
      </c>
      <c r="B334" s="164" t="s">
        <v>815</v>
      </c>
      <c r="C334" s="165">
        <v>7.0</v>
      </c>
      <c r="D334" s="166">
        <v>1.0</v>
      </c>
      <c r="E334" s="167">
        <v>1.0</v>
      </c>
      <c r="F334" s="167">
        <v>1.0</v>
      </c>
      <c r="G334" s="167">
        <v>1.0</v>
      </c>
      <c r="H334" s="167">
        <v>1.0</v>
      </c>
      <c r="I334" s="168">
        <v>1.0</v>
      </c>
      <c r="J334" s="167">
        <v>1.0</v>
      </c>
      <c r="K334" s="167">
        <v>1.0</v>
      </c>
      <c r="L334" s="167">
        <v>1.0</v>
      </c>
      <c r="M334" s="167">
        <v>1.0</v>
      </c>
      <c r="N334" s="167">
        <v>1.0</v>
      </c>
      <c r="O334" s="169">
        <v>1.0</v>
      </c>
      <c r="P334" s="166">
        <v>1.0</v>
      </c>
      <c r="Q334" s="167">
        <v>1.0</v>
      </c>
      <c r="R334" s="167">
        <v>1.0</v>
      </c>
      <c r="S334" s="167">
        <v>1.0</v>
      </c>
      <c r="T334" s="168">
        <v>1.0</v>
      </c>
      <c r="U334" s="170">
        <f t="shared" si="76"/>
        <v>1</v>
      </c>
      <c r="V334" s="170">
        <f t="shared" si="77"/>
        <v>1</v>
      </c>
    </row>
    <row r="335">
      <c r="A335" s="163">
        <v>3150006.0</v>
      </c>
      <c r="B335" s="164" t="s">
        <v>1817</v>
      </c>
      <c r="C335" s="165">
        <v>7.0</v>
      </c>
      <c r="D335" s="166">
        <v>1.0</v>
      </c>
      <c r="E335" s="167">
        <v>1.0</v>
      </c>
      <c r="F335" s="167">
        <v>1.0</v>
      </c>
      <c r="G335" s="167">
        <v>1.0</v>
      </c>
      <c r="H335" s="167">
        <v>1.0</v>
      </c>
      <c r="I335" s="168">
        <v>1.0</v>
      </c>
      <c r="J335" s="178"/>
      <c r="K335" s="167">
        <v>1.0</v>
      </c>
      <c r="L335" s="167">
        <v>1.0</v>
      </c>
      <c r="M335" s="167">
        <v>1.0</v>
      </c>
      <c r="N335" s="167">
        <v>1.0</v>
      </c>
      <c r="O335" s="169">
        <v>1.0</v>
      </c>
      <c r="P335" s="166">
        <v>1.0</v>
      </c>
      <c r="Q335" s="167">
        <v>1.0</v>
      </c>
      <c r="R335" s="167">
        <v>1.0</v>
      </c>
      <c r="S335" s="167">
        <v>1.0</v>
      </c>
      <c r="T335" s="168">
        <v>1.0</v>
      </c>
      <c r="U335" s="170">
        <f t="shared" si="76"/>
        <v>1</v>
      </c>
      <c r="V335" s="170">
        <f t="shared" si="77"/>
        <v>1</v>
      </c>
    </row>
    <row r="336">
      <c r="A336" s="163">
        <v>3150007.0</v>
      </c>
      <c r="B336" s="164" t="s">
        <v>1818</v>
      </c>
      <c r="C336" s="165">
        <v>7.0</v>
      </c>
      <c r="D336" s="166">
        <v>1.0</v>
      </c>
      <c r="E336" s="167">
        <v>1.0</v>
      </c>
      <c r="F336" s="167">
        <v>1.0</v>
      </c>
      <c r="G336" s="167">
        <v>1.0</v>
      </c>
      <c r="H336" s="167">
        <v>1.0</v>
      </c>
      <c r="I336" s="168">
        <v>1.0</v>
      </c>
      <c r="J336" s="167">
        <v>1.0</v>
      </c>
      <c r="K336" s="167">
        <v>1.0</v>
      </c>
      <c r="L336" s="167">
        <v>1.0</v>
      </c>
      <c r="M336" s="167">
        <v>1.0</v>
      </c>
      <c r="N336" s="167">
        <v>1.0</v>
      </c>
      <c r="O336" s="169">
        <v>1.0</v>
      </c>
      <c r="P336" s="166">
        <v>1.0</v>
      </c>
      <c r="Q336" s="167">
        <v>1.0</v>
      </c>
      <c r="R336" s="167">
        <v>1.0</v>
      </c>
      <c r="S336" s="167">
        <v>1.0</v>
      </c>
      <c r="T336" s="168">
        <v>1.0</v>
      </c>
      <c r="U336" s="170">
        <f t="shared" si="76"/>
        <v>1</v>
      </c>
      <c r="V336" s="170">
        <f t="shared" si="77"/>
        <v>1</v>
      </c>
    </row>
    <row r="337">
      <c r="A337" s="163">
        <v>3150008.0</v>
      </c>
      <c r="B337" s="164" t="s">
        <v>1819</v>
      </c>
      <c r="C337" s="165">
        <v>7.0</v>
      </c>
      <c r="D337" s="166">
        <v>1.0</v>
      </c>
      <c r="E337" s="167">
        <v>1.0</v>
      </c>
      <c r="F337" s="167">
        <v>1.0</v>
      </c>
      <c r="G337" s="167">
        <v>1.0</v>
      </c>
      <c r="H337" s="167">
        <v>1.0</v>
      </c>
      <c r="I337" s="168">
        <v>1.0</v>
      </c>
      <c r="J337" s="167">
        <v>1.0</v>
      </c>
      <c r="K337" s="167">
        <v>1.0</v>
      </c>
      <c r="L337" s="167">
        <v>1.0</v>
      </c>
      <c r="M337" s="167">
        <v>1.0</v>
      </c>
      <c r="N337" s="167">
        <v>1.0</v>
      </c>
      <c r="O337" s="169">
        <v>1.0</v>
      </c>
      <c r="P337" s="166">
        <v>1.0</v>
      </c>
      <c r="Q337" s="167">
        <v>1.0</v>
      </c>
      <c r="R337" s="167">
        <v>1.0</v>
      </c>
      <c r="S337" s="167">
        <v>1.0</v>
      </c>
      <c r="T337" s="168">
        <v>1.0</v>
      </c>
      <c r="U337" s="170">
        <f t="shared" si="76"/>
        <v>1</v>
      </c>
      <c r="V337" s="170">
        <f t="shared" si="77"/>
        <v>1</v>
      </c>
    </row>
    <row r="338">
      <c r="A338" s="149">
        <v>3160000.0</v>
      </c>
      <c r="B338" s="150" t="s">
        <v>823</v>
      </c>
      <c r="C338" s="151">
        <v>3.0</v>
      </c>
      <c r="D338" s="218"/>
      <c r="E338" s="153"/>
      <c r="F338" s="153"/>
      <c r="G338" s="153"/>
      <c r="H338" s="153"/>
      <c r="I338" s="154"/>
      <c r="J338" s="153"/>
      <c r="K338" s="153"/>
      <c r="L338" s="153"/>
      <c r="M338" s="153"/>
      <c r="N338" s="153"/>
      <c r="O338" s="155"/>
      <c r="P338" s="152"/>
      <c r="Q338" s="153"/>
      <c r="R338" s="153"/>
      <c r="S338" s="153"/>
      <c r="T338" s="154"/>
    </row>
    <row r="339">
      <c r="A339" s="163">
        <v>3160001.0</v>
      </c>
      <c r="B339" s="164" t="s">
        <v>823</v>
      </c>
      <c r="C339" s="165">
        <v>7.0</v>
      </c>
      <c r="D339" s="166">
        <v>1.0</v>
      </c>
      <c r="E339" s="167">
        <v>1.0</v>
      </c>
      <c r="F339" s="167">
        <v>1.0</v>
      </c>
      <c r="G339" s="167">
        <v>1.0</v>
      </c>
      <c r="H339" s="167">
        <v>1.0</v>
      </c>
      <c r="I339" s="168">
        <v>1.0</v>
      </c>
      <c r="J339" s="178"/>
      <c r="K339" s="178"/>
      <c r="L339" s="178"/>
      <c r="M339" s="178"/>
      <c r="N339" s="178"/>
      <c r="O339" s="179"/>
      <c r="P339" s="166">
        <v>1.0</v>
      </c>
      <c r="Q339" s="167">
        <v>1.0</v>
      </c>
      <c r="R339" s="167">
        <v>1.0</v>
      </c>
      <c r="S339" s="167">
        <v>1.0</v>
      </c>
      <c r="T339" s="168">
        <v>1.0</v>
      </c>
      <c r="U339" s="170">
        <f t="shared" ref="U339:U341" si="78">if(I339+O339&gt;0,1,"")</f>
        <v>1</v>
      </c>
      <c r="V339" s="170">
        <f t="shared" ref="V339:V341" si="79">if(T339&gt;0,1,"")</f>
        <v>1</v>
      </c>
    </row>
    <row r="340">
      <c r="A340" s="163">
        <v>3160002.0</v>
      </c>
      <c r="B340" s="164" t="s">
        <v>825</v>
      </c>
      <c r="C340" s="165">
        <v>7.0</v>
      </c>
      <c r="D340" s="166">
        <v>1.0</v>
      </c>
      <c r="E340" s="167">
        <v>1.0</v>
      </c>
      <c r="F340" s="167">
        <v>1.0</v>
      </c>
      <c r="G340" s="167">
        <v>1.0</v>
      </c>
      <c r="H340" s="167">
        <v>1.0</v>
      </c>
      <c r="I340" s="168">
        <v>1.0</v>
      </c>
      <c r="J340" s="178"/>
      <c r="K340" s="167">
        <v>1.0</v>
      </c>
      <c r="L340" s="167">
        <v>1.0</v>
      </c>
      <c r="M340" s="167">
        <v>1.0</v>
      </c>
      <c r="N340" s="178"/>
      <c r="O340" s="169">
        <v>1.0</v>
      </c>
      <c r="P340" s="166">
        <v>1.0</v>
      </c>
      <c r="Q340" s="167">
        <v>1.0</v>
      </c>
      <c r="R340" s="167">
        <v>1.0</v>
      </c>
      <c r="S340" s="167">
        <v>1.0</v>
      </c>
      <c r="T340" s="168">
        <v>1.0</v>
      </c>
      <c r="U340" s="170">
        <f t="shared" si="78"/>
        <v>1</v>
      </c>
      <c r="V340" s="170">
        <f t="shared" si="79"/>
        <v>1</v>
      </c>
    </row>
    <row r="341">
      <c r="A341" s="163">
        <v>3160003.0</v>
      </c>
      <c r="B341" s="164" t="s">
        <v>827</v>
      </c>
      <c r="C341" s="165">
        <v>7.0</v>
      </c>
      <c r="D341" s="166">
        <v>1.0</v>
      </c>
      <c r="E341" s="167">
        <v>1.0</v>
      </c>
      <c r="F341" s="167">
        <v>1.0</v>
      </c>
      <c r="G341" s="167">
        <v>1.0</v>
      </c>
      <c r="H341" s="167">
        <v>1.0</v>
      </c>
      <c r="I341" s="168">
        <v>1.0</v>
      </c>
      <c r="J341" s="167">
        <v>1.0</v>
      </c>
      <c r="K341" s="167">
        <v>1.0</v>
      </c>
      <c r="L341" s="167">
        <v>1.0</v>
      </c>
      <c r="M341" s="167">
        <v>1.0</v>
      </c>
      <c r="N341" s="167">
        <v>1.0</v>
      </c>
      <c r="O341" s="169">
        <v>1.0</v>
      </c>
      <c r="P341" s="166">
        <v>1.0</v>
      </c>
      <c r="Q341" s="167">
        <v>1.0</v>
      </c>
      <c r="R341" s="167">
        <v>1.0</v>
      </c>
      <c r="S341" s="167">
        <v>1.0</v>
      </c>
      <c r="T341" s="168">
        <v>1.0</v>
      </c>
      <c r="U341" s="170">
        <f t="shared" si="78"/>
        <v>1</v>
      </c>
      <c r="V341" s="170">
        <f t="shared" si="79"/>
        <v>1</v>
      </c>
    </row>
    <row r="342">
      <c r="A342" s="142">
        <v>3200000.0</v>
      </c>
      <c r="B342" s="143" t="s">
        <v>1820</v>
      </c>
      <c r="C342" s="144">
        <v>2.0</v>
      </c>
      <c r="D342" s="145"/>
      <c r="E342" s="146"/>
      <c r="F342" s="146"/>
      <c r="G342" s="146"/>
      <c r="H342" s="146"/>
      <c r="I342" s="147"/>
      <c r="J342" s="146"/>
      <c r="K342" s="146"/>
      <c r="L342" s="146"/>
      <c r="M342" s="146"/>
      <c r="N342" s="146"/>
      <c r="O342" s="148"/>
      <c r="P342" s="145"/>
      <c r="Q342" s="146"/>
      <c r="R342" s="146"/>
      <c r="S342" s="146"/>
      <c r="T342" s="147"/>
    </row>
    <row r="343">
      <c r="A343" s="149">
        <v>3210000.0</v>
      </c>
      <c r="B343" s="150" t="s">
        <v>1821</v>
      </c>
      <c r="C343" s="151">
        <v>3.0</v>
      </c>
      <c r="D343" s="218"/>
      <c r="E343" s="153"/>
      <c r="F343" s="153"/>
      <c r="G343" s="153"/>
      <c r="H343" s="153"/>
      <c r="I343" s="154"/>
      <c r="J343" s="153"/>
      <c r="K343" s="153"/>
      <c r="L343" s="153"/>
      <c r="M343" s="153"/>
      <c r="N343" s="153"/>
      <c r="O343" s="155"/>
      <c r="P343" s="152"/>
      <c r="Q343" s="153"/>
      <c r="R343" s="153"/>
      <c r="S343" s="153"/>
      <c r="T343" s="154"/>
    </row>
    <row r="344">
      <c r="A344" s="163">
        <v>3210001.0</v>
      </c>
      <c r="B344" s="164" t="s">
        <v>829</v>
      </c>
      <c r="C344" s="165">
        <v>7.0</v>
      </c>
      <c r="D344" s="166">
        <v>1.0</v>
      </c>
      <c r="E344" s="167">
        <v>1.0</v>
      </c>
      <c r="F344" s="167">
        <v>1.0</v>
      </c>
      <c r="G344" s="167">
        <v>1.0</v>
      </c>
      <c r="H344" s="167">
        <v>1.0</v>
      </c>
      <c r="I344" s="168">
        <v>1.0</v>
      </c>
      <c r="J344" s="167">
        <v>1.0</v>
      </c>
      <c r="K344" s="167">
        <v>1.0</v>
      </c>
      <c r="L344" s="167">
        <v>1.0</v>
      </c>
      <c r="M344" s="167">
        <v>1.0</v>
      </c>
      <c r="N344" s="167">
        <v>1.0</v>
      </c>
      <c r="O344" s="169">
        <v>1.0</v>
      </c>
      <c r="P344" s="166">
        <v>1.0</v>
      </c>
      <c r="Q344" s="167">
        <v>1.0</v>
      </c>
      <c r="R344" s="167">
        <v>1.0</v>
      </c>
      <c r="S344" s="167">
        <v>1.0</v>
      </c>
      <c r="T344" s="168">
        <v>1.0</v>
      </c>
      <c r="U344" s="170">
        <f>if(I344+O344&gt;0,1,"")</f>
        <v>1</v>
      </c>
      <c r="V344" s="170">
        <f>if(T344&gt;0,1,"")</f>
        <v>1</v>
      </c>
    </row>
    <row r="345">
      <c r="A345" s="149">
        <v>3220000.0</v>
      </c>
      <c r="B345" s="150" t="s">
        <v>1822</v>
      </c>
      <c r="C345" s="151">
        <v>3.0</v>
      </c>
      <c r="D345" s="218"/>
      <c r="E345" s="153"/>
      <c r="F345" s="153"/>
      <c r="G345" s="153"/>
      <c r="H345" s="153"/>
      <c r="I345" s="154"/>
      <c r="J345" s="153"/>
      <c r="K345" s="153"/>
      <c r="L345" s="153"/>
      <c r="M345" s="153"/>
      <c r="N345" s="153"/>
      <c r="O345" s="155"/>
      <c r="P345" s="152"/>
      <c r="Q345" s="153"/>
      <c r="R345" s="153"/>
      <c r="S345" s="153"/>
      <c r="T345" s="154"/>
    </row>
    <row r="346">
      <c r="A346" s="163">
        <v>3220001.0</v>
      </c>
      <c r="B346" s="164" t="s">
        <v>831</v>
      </c>
      <c r="C346" s="165">
        <v>7.0</v>
      </c>
      <c r="D346" s="166">
        <v>1.0</v>
      </c>
      <c r="E346" s="167">
        <v>1.0</v>
      </c>
      <c r="F346" s="167">
        <v>1.0</v>
      </c>
      <c r="G346" s="167">
        <v>1.0</v>
      </c>
      <c r="H346" s="167">
        <v>1.0</v>
      </c>
      <c r="I346" s="168">
        <v>1.0</v>
      </c>
      <c r="J346" s="167">
        <v>1.0</v>
      </c>
      <c r="K346" s="167">
        <v>1.0</v>
      </c>
      <c r="L346" s="167">
        <v>1.0</v>
      </c>
      <c r="M346" s="167">
        <v>1.0</v>
      </c>
      <c r="N346" s="167">
        <v>1.0</v>
      </c>
      <c r="O346" s="169">
        <v>1.0</v>
      </c>
      <c r="P346" s="166">
        <v>1.0</v>
      </c>
      <c r="Q346" s="167">
        <v>1.0</v>
      </c>
      <c r="R346" s="167">
        <v>1.0</v>
      </c>
      <c r="S346" s="167">
        <v>1.0</v>
      </c>
      <c r="T346" s="168">
        <v>1.0</v>
      </c>
      <c r="U346" s="170">
        <f t="shared" ref="U346:U348" si="80">if(I346+O346&gt;0,1,"")</f>
        <v>1</v>
      </c>
      <c r="V346" s="170">
        <f t="shared" ref="V346:V348" si="81">if(T346&gt;0,1,"")</f>
        <v>1</v>
      </c>
    </row>
    <row r="347">
      <c r="A347" s="163">
        <v>3220002.0</v>
      </c>
      <c r="B347" s="164" t="s">
        <v>833</v>
      </c>
      <c r="C347" s="165">
        <v>7.0</v>
      </c>
      <c r="D347" s="184"/>
      <c r="E347" s="167">
        <v>1.0</v>
      </c>
      <c r="F347" s="167">
        <v>1.0</v>
      </c>
      <c r="G347" s="167">
        <v>1.0</v>
      </c>
      <c r="H347" s="167">
        <v>1.0</v>
      </c>
      <c r="I347" s="168">
        <v>1.0</v>
      </c>
      <c r="J347" s="178"/>
      <c r="K347" s="167">
        <v>1.0</v>
      </c>
      <c r="L347" s="167">
        <v>1.0</v>
      </c>
      <c r="M347" s="167">
        <v>1.0</v>
      </c>
      <c r="N347" s="167">
        <v>1.0</v>
      </c>
      <c r="O347" s="169">
        <v>1.0</v>
      </c>
      <c r="P347" s="166">
        <v>1.0</v>
      </c>
      <c r="Q347" s="167">
        <v>1.0</v>
      </c>
      <c r="R347" s="167">
        <v>1.0</v>
      </c>
      <c r="S347" s="167">
        <v>1.0</v>
      </c>
      <c r="T347" s="168">
        <v>1.0</v>
      </c>
      <c r="U347" s="170">
        <f t="shared" si="80"/>
        <v>1</v>
      </c>
      <c r="V347" s="170">
        <f t="shared" si="81"/>
        <v>1</v>
      </c>
    </row>
    <row r="348">
      <c r="A348" s="163">
        <v>3220005.0</v>
      </c>
      <c r="B348" s="164" t="s">
        <v>839</v>
      </c>
      <c r="C348" s="165">
        <v>7.0</v>
      </c>
      <c r="D348" s="166">
        <v>1.0</v>
      </c>
      <c r="E348" s="167">
        <v>1.0</v>
      </c>
      <c r="F348" s="167">
        <v>1.0</v>
      </c>
      <c r="G348" s="167">
        <v>1.0</v>
      </c>
      <c r="H348" s="167">
        <v>1.0</v>
      </c>
      <c r="I348" s="168">
        <v>1.0</v>
      </c>
      <c r="J348" s="178"/>
      <c r="K348" s="167">
        <v>1.0</v>
      </c>
      <c r="L348" s="167">
        <v>1.0</v>
      </c>
      <c r="M348" s="167">
        <v>1.0</v>
      </c>
      <c r="N348" s="167">
        <v>1.0</v>
      </c>
      <c r="O348" s="169">
        <v>1.0</v>
      </c>
      <c r="P348" s="166">
        <v>1.0</v>
      </c>
      <c r="Q348" s="167">
        <v>1.0</v>
      </c>
      <c r="R348" s="167">
        <v>1.0</v>
      </c>
      <c r="S348" s="167">
        <v>1.0</v>
      </c>
      <c r="T348" s="168">
        <v>1.0</v>
      </c>
      <c r="U348" s="170">
        <f t="shared" si="80"/>
        <v>1</v>
      </c>
      <c r="V348" s="170">
        <f t="shared" si="81"/>
        <v>1</v>
      </c>
    </row>
    <row r="349">
      <c r="A349" s="149">
        <v>3230000.0</v>
      </c>
      <c r="B349" s="150" t="s">
        <v>1823</v>
      </c>
      <c r="C349" s="151">
        <v>3.0</v>
      </c>
      <c r="D349" s="218"/>
      <c r="E349" s="153"/>
      <c r="F349" s="153"/>
      <c r="G349" s="153"/>
      <c r="H349" s="153"/>
      <c r="I349" s="154"/>
      <c r="J349" s="153"/>
      <c r="K349" s="153"/>
      <c r="L349" s="153"/>
      <c r="M349" s="153"/>
      <c r="N349" s="153"/>
      <c r="O349" s="155"/>
      <c r="P349" s="152"/>
      <c r="Q349" s="153"/>
      <c r="R349" s="153"/>
      <c r="S349" s="153"/>
      <c r="T349" s="154"/>
    </row>
    <row r="350">
      <c r="A350" s="163">
        <v>3230001.0</v>
      </c>
      <c r="B350" s="164" t="s">
        <v>841</v>
      </c>
      <c r="C350" s="165">
        <v>7.0</v>
      </c>
      <c r="D350" s="166">
        <v>1.0</v>
      </c>
      <c r="E350" s="167">
        <v>1.0</v>
      </c>
      <c r="F350" s="167">
        <v>1.0</v>
      </c>
      <c r="G350" s="167">
        <v>1.0</v>
      </c>
      <c r="H350" s="167">
        <v>1.0</v>
      </c>
      <c r="I350" s="168">
        <v>1.0</v>
      </c>
      <c r="J350" s="167">
        <v>1.0</v>
      </c>
      <c r="K350" s="167">
        <v>1.0</v>
      </c>
      <c r="L350" s="167">
        <v>1.0</v>
      </c>
      <c r="M350" s="167">
        <v>1.0</v>
      </c>
      <c r="N350" s="167">
        <v>1.0</v>
      </c>
      <c r="O350" s="169">
        <v>1.0</v>
      </c>
      <c r="P350" s="166">
        <v>1.0</v>
      </c>
      <c r="Q350" s="167">
        <v>1.0</v>
      </c>
      <c r="R350" s="167">
        <v>1.0</v>
      </c>
      <c r="S350" s="167">
        <v>1.0</v>
      </c>
      <c r="T350" s="168">
        <v>1.0</v>
      </c>
      <c r="U350" s="170">
        <f>if(I350+O350&gt;0,1,"")</f>
        <v>1</v>
      </c>
      <c r="V350" s="170">
        <f>if(T350&gt;0,1,"")</f>
        <v>1</v>
      </c>
    </row>
    <row r="351">
      <c r="A351" s="149">
        <v>3240000.0</v>
      </c>
      <c r="B351" s="150" t="s">
        <v>1824</v>
      </c>
      <c r="C351" s="151">
        <v>3.0</v>
      </c>
      <c r="D351" s="218"/>
      <c r="E351" s="153"/>
      <c r="F351" s="153"/>
      <c r="G351" s="153"/>
      <c r="H351" s="153"/>
      <c r="I351" s="154"/>
      <c r="J351" s="153"/>
      <c r="K351" s="153"/>
      <c r="L351" s="153"/>
      <c r="M351" s="153"/>
      <c r="N351" s="153"/>
      <c r="O351" s="155"/>
      <c r="P351" s="152"/>
      <c r="Q351" s="153"/>
      <c r="R351" s="153"/>
      <c r="S351" s="153"/>
      <c r="T351" s="154"/>
    </row>
    <row r="352">
      <c r="A352" s="163">
        <v>3240002.0</v>
      </c>
      <c r="B352" s="164" t="s">
        <v>845</v>
      </c>
      <c r="C352" s="165">
        <v>7.0</v>
      </c>
      <c r="D352" s="166">
        <v>1.0</v>
      </c>
      <c r="E352" s="167">
        <v>1.0</v>
      </c>
      <c r="F352" s="167">
        <v>1.0</v>
      </c>
      <c r="G352" s="167">
        <v>1.0</v>
      </c>
      <c r="H352" s="167">
        <v>1.0</v>
      </c>
      <c r="I352" s="168">
        <v>1.0</v>
      </c>
      <c r="J352" s="167">
        <v>1.0</v>
      </c>
      <c r="K352" s="167">
        <v>1.0</v>
      </c>
      <c r="L352" s="167">
        <v>1.0</v>
      </c>
      <c r="M352" s="167">
        <v>1.0</v>
      </c>
      <c r="N352" s="167">
        <v>1.0</v>
      </c>
      <c r="O352" s="169">
        <v>1.0</v>
      </c>
      <c r="P352" s="166">
        <v>1.0</v>
      </c>
      <c r="Q352" s="167">
        <v>1.0</v>
      </c>
      <c r="R352" s="167">
        <v>1.0</v>
      </c>
      <c r="S352" s="167">
        <v>1.0</v>
      </c>
      <c r="T352" s="168">
        <v>1.0</v>
      </c>
      <c r="U352" s="170">
        <f>if(I352+O352&gt;0,1,"")</f>
        <v>1</v>
      </c>
      <c r="V352" s="170">
        <f>if(T352&gt;0,1,"")</f>
        <v>1</v>
      </c>
    </row>
    <row r="353">
      <c r="A353" s="142">
        <v>3300000.0</v>
      </c>
      <c r="B353" s="143" t="s">
        <v>1825</v>
      </c>
      <c r="C353" s="144">
        <v>2.0</v>
      </c>
      <c r="D353" s="219"/>
      <c r="E353" s="146"/>
      <c r="F353" s="146"/>
      <c r="G353" s="146"/>
      <c r="H353" s="146"/>
      <c r="I353" s="147"/>
      <c r="J353" s="146"/>
      <c r="K353" s="146"/>
      <c r="L353" s="146"/>
      <c r="M353" s="146"/>
      <c r="N353" s="146"/>
      <c r="O353" s="148"/>
      <c r="P353" s="145"/>
      <c r="Q353" s="146"/>
      <c r="R353" s="146"/>
      <c r="S353" s="146"/>
      <c r="T353" s="147"/>
    </row>
    <row r="354">
      <c r="A354" s="163">
        <v>3300004.0</v>
      </c>
      <c r="B354" s="164" t="s">
        <v>856</v>
      </c>
      <c r="C354" s="165">
        <v>7.0</v>
      </c>
      <c r="D354" s="166">
        <v>1.0</v>
      </c>
      <c r="E354" s="167">
        <v>1.0</v>
      </c>
      <c r="F354" s="167">
        <v>1.0</v>
      </c>
      <c r="G354" s="167">
        <v>1.0</v>
      </c>
      <c r="H354" s="167">
        <v>1.0</v>
      </c>
      <c r="I354" s="168">
        <v>1.0</v>
      </c>
      <c r="J354" s="167">
        <v>1.0</v>
      </c>
      <c r="K354" s="167">
        <v>1.0</v>
      </c>
      <c r="L354" s="167">
        <v>1.0</v>
      </c>
      <c r="M354" s="167">
        <v>1.0</v>
      </c>
      <c r="N354" s="167">
        <v>1.0</v>
      </c>
      <c r="O354" s="169">
        <v>1.0</v>
      </c>
      <c r="P354" s="166">
        <v>1.0</v>
      </c>
      <c r="Q354" s="167">
        <v>1.0</v>
      </c>
      <c r="R354" s="167">
        <v>1.0</v>
      </c>
      <c r="S354" s="167">
        <v>1.0</v>
      </c>
      <c r="T354" s="168">
        <v>1.0</v>
      </c>
      <c r="U354" s="170">
        <f t="shared" ref="U354:U356" si="82">if(I354+O354&gt;0,1,"")</f>
        <v>1</v>
      </c>
      <c r="V354" s="170">
        <f t="shared" ref="V354:V356" si="83">if(T354&gt;0,1,"")</f>
        <v>1</v>
      </c>
    </row>
    <row r="355">
      <c r="A355" s="163">
        <v>3300005.0</v>
      </c>
      <c r="B355" s="164" t="s">
        <v>858</v>
      </c>
      <c r="C355" s="165">
        <v>7.0</v>
      </c>
      <c r="D355" s="166">
        <v>1.0</v>
      </c>
      <c r="E355" s="167">
        <v>1.0</v>
      </c>
      <c r="F355" s="167">
        <v>1.0</v>
      </c>
      <c r="G355" s="167">
        <v>1.0</v>
      </c>
      <c r="H355" s="167">
        <v>1.0</v>
      </c>
      <c r="I355" s="168">
        <v>1.0</v>
      </c>
      <c r="J355" s="167">
        <v>1.0</v>
      </c>
      <c r="K355" s="167">
        <v>1.0</v>
      </c>
      <c r="L355" s="167">
        <v>1.0</v>
      </c>
      <c r="M355" s="167">
        <v>1.0</v>
      </c>
      <c r="N355" s="167">
        <v>1.0</v>
      </c>
      <c r="O355" s="169">
        <v>1.0</v>
      </c>
      <c r="P355" s="166">
        <v>1.0</v>
      </c>
      <c r="Q355" s="167">
        <v>1.0</v>
      </c>
      <c r="R355" s="167">
        <v>1.0</v>
      </c>
      <c r="S355" s="167">
        <v>1.0</v>
      </c>
      <c r="T355" s="168">
        <v>1.0</v>
      </c>
      <c r="U355" s="170">
        <f t="shared" si="82"/>
        <v>1</v>
      </c>
      <c r="V355" s="170">
        <f t="shared" si="83"/>
        <v>1</v>
      </c>
    </row>
    <row r="356">
      <c r="A356" s="163">
        <v>3300006.0</v>
      </c>
      <c r="B356" s="164" t="s">
        <v>860</v>
      </c>
      <c r="C356" s="165">
        <v>7.0</v>
      </c>
      <c r="D356" s="166">
        <v>1.0</v>
      </c>
      <c r="E356" s="167">
        <v>1.0</v>
      </c>
      <c r="F356" s="167">
        <v>1.0</v>
      </c>
      <c r="G356" s="167">
        <v>1.0</v>
      </c>
      <c r="H356" s="167">
        <v>1.0</v>
      </c>
      <c r="I356" s="168">
        <v>1.0</v>
      </c>
      <c r="J356" s="178"/>
      <c r="K356" s="167">
        <v>1.0</v>
      </c>
      <c r="L356" s="167">
        <v>1.0</v>
      </c>
      <c r="M356" s="167">
        <v>1.0</v>
      </c>
      <c r="N356" s="167">
        <v>1.0</v>
      </c>
      <c r="O356" s="169">
        <v>1.0</v>
      </c>
      <c r="P356" s="166">
        <v>1.0</v>
      </c>
      <c r="Q356" s="167">
        <v>1.0</v>
      </c>
      <c r="R356" s="167">
        <v>1.0</v>
      </c>
      <c r="S356" s="167">
        <v>1.0</v>
      </c>
      <c r="T356" s="168">
        <v>1.0</v>
      </c>
      <c r="U356" s="170">
        <f t="shared" si="82"/>
        <v>1</v>
      </c>
      <c r="V356" s="170">
        <f t="shared" si="83"/>
        <v>1</v>
      </c>
    </row>
    <row r="357">
      <c r="A357" s="142">
        <v>3400000.0</v>
      </c>
      <c r="B357" s="143" t="s">
        <v>1826</v>
      </c>
      <c r="C357" s="144">
        <v>2.0</v>
      </c>
      <c r="D357" s="219"/>
      <c r="E357" s="146"/>
      <c r="F357" s="146"/>
      <c r="G357" s="146"/>
      <c r="H357" s="146"/>
      <c r="I357" s="147"/>
      <c r="J357" s="146"/>
      <c r="K357" s="146"/>
      <c r="L357" s="146"/>
      <c r="M357" s="146"/>
      <c r="N357" s="146"/>
      <c r="O357" s="148"/>
      <c r="P357" s="145"/>
      <c r="Q357" s="146"/>
      <c r="R357" s="146"/>
      <c r="S357" s="146"/>
      <c r="T357" s="147"/>
    </row>
    <row r="358">
      <c r="A358" s="163">
        <v>3400002.0</v>
      </c>
      <c r="B358" s="164" t="s">
        <v>868</v>
      </c>
      <c r="C358" s="165">
        <v>7.0</v>
      </c>
      <c r="D358" s="166">
        <v>1.0</v>
      </c>
      <c r="E358" s="167">
        <v>1.0</v>
      </c>
      <c r="F358" s="167">
        <v>1.0</v>
      </c>
      <c r="G358" s="167">
        <v>1.0</v>
      </c>
      <c r="H358" s="167">
        <v>1.0</v>
      </c>
      <c r="I358" s="168">
        <v>1.0</v>
      </c>
      <c r="J358" s="167">
        <v>1.0</v>
      </c>
      <c r="K358" s="167">
        <v>1.0</v>
      </c>
      <c r="L358" s="167">
        <v>1.0</v>
      </c>
      <c r="M358" s="167">
        <v>1.0</v>
      </c>
      <c r="N358" s="167">
        <v>1.0</v>
      </c>
      <c r="O358" s="169">
        <v>1.0</v>
      </c>
      <c r="P358" s="166">
        <v>1.0</v>
      </c>
      <c r="Q358" s="167">
        <v>1.0</v>
      </c>
      <c r="R358" s="167">
        <v>1.0</v>
      </c>
      <c r="S358" s="167">
        <v>1.0</v>
      </c>
      <c r="T358" s="168">
        <v>1.0</v>
      </c>
      <c r="U358" s="170">
        <f t="shared" ref="U358:U362" si="84">if(I358+O358&gt;0,1,"")</f>
        <v>1</v>
      </c>
      <c r="V358" s="170">
        <f t="shared" ref="V358:V362" si="85">if(T358&gt;0,1,"")</f>
        <v>1</v>
      </c>
    </row>
    <row r="359">
      <c r="A359" s="163">
        <v>3400006.0</v>
      </c>
      <c r="B359" s="164" t="s">
        <v>876</v>
      </c>
      <c r="C359" s="165">
        <v>7.0</v>
      </c>
      <c r="D359" s="184"/>
      <c r="E359" s="178"/>
      <c r="F359" s="178"/>
      <c r="G359" s="167">
        <v>1.0</v>
      </c>
      <c r="H359" s="167">
        <v>1.0</v>
      </c>
      <c r="I359" s="168">
        <v>1.0</v>
      </c>
      <c r="J359" s="178"/>
      <c r="K359" s="167">
        <v>1.0</v>
      </c>
      <c r="L359" s="167">
        <v>1.0</v>
      </c>
      <c r="M359" s="178"/>
      <c r="N359" s="178"/>
      <c r="O359" s="169">
        <v>1.0</v>
      </c>
      <c r="P359" s="180"/>
      <c r="Q359" s="178"/>
      <c r="R359" s="178"/>
      <c r="S359" s="178"/>
      <c r="T359" s="181"/>
      <c r="U359" s="170">
        <f t="shared" si="84"/>
        <v>1</v>
      </c>
      <c r="V359" s="170" t="str">
        <f t="shared" si="85"/>
        <v/>
      </c>
    </row>
    <row r="360">
      <c r="A360" s="163">
        <v>3400009.0</v>
      </c>
      <c r="B360" s="164" t="s">
        <v>883</v>
      </c>
      <c r="C360" s="165">
        <v>7.0</v>
      </c>
      <c r="D360" s="166">
        <v>1.0</v>
      </c>
      <c r="E360" s="167">
        <v>1.0</v>
      </c>
      <c r="F360" s="167">
        <v>1.0</v>
      </c>
      <c r="G360" s="178"/>
      <c r="H360" s="167">
        <v>1.0</v>
      </c>
      <c r="I360" s="168">
        <v>1.0</v>
      </c>
      <c r="J360" s="167">
        <v>1.0</v>
      </c>
      <c r="K360" s="178"/>
      <c r="L360" s="178"/>
      <c r="M360" s="167">
        <v>1.0</v>
      </c>
      <c r="N360" s="167">
        <v>1.0</v>
      </c>
      <c r="O360" s="169">
        <v>1.0</v>
      </c>
      <c r="P360" s="166">
        <v>1.0</v>
      </c>
      <c r="Q360" s="167">
        <v>1.0</v>
      </c>
      <c r="R360" s="167">
        <v>1.0</v>
      </c>
      <c r="S360" s="167">
        <v>1.0</v>
      </c>
      <c r="T360" s="168">
        <v>1.0</v>
      </c>
      <c r="U360" s="170">
        <f t="shared" si="84"/>
        <v>1</v>
      </c>
      <c r="V360" s="170">
        <f t="shared" si="85"/>
        <v>1</v>
      </c>
    </row>
    <row r="361">
      <c r="A361" s="163">
        <v>3400010.0</v>
      </c>
      <c r="B361" s="164" t="s">
        <v>886</v>
      </c>
      <c r="C361" s="165">
        <v>7.0</v>
      </c>
      <c r="D361" s="166">
        <v>1.0</v>
      </c>
      <c r="E361" s="167">
        <v>1.0</v>
      </c>
      <c r="F361" s="178"/>
      <c r="G361" s="167">
        <v>1.0</v>
      </c>
      <c r="H361" s="167">
        <v>1.0</v>
      </c>
      <c r="I361" s="168">
        <v>1.0</v>
      </c>
      <c r="J361" s="167">
        <v>1.0</v>
      </c>
      <c r="K361" s="167">
        <v>1.0</v>
      </c>
      <c r="L361" s="167">
        <v>1.0</v>
      </c>
      <c r="M361" s="167">
        <v>1.0</v>
      </c>
      <c r="N361" s="167">
        <v>1.0</v>
      </c>
      <c r="O361" s="169">
        <v>1.0</v>
      </c>
      <c r="P361" s="166">
        <v>1.0</v>
      </c>
      <c r="Q361" s="167">
        <v>1.0</v>
      </c>
      <c r="R361" s="167">
        <v>1.0</v>
      </c>
      <c r="S361" s="167">
        <v>1.0</v>
      </c>
      <c r="T361" s="168">
        <v>1.0</v>
      </c>
      <c r="U361" s="170">
        <f t="shared" si="84"/>
        <v>1</v>
      </c>
      <c r="V361" s="170">
        <f t="shared" si="85"/>
        <v>1</v>
      </c>
    </row>
    <row r="362">
      <c r="A362" s="163">
        <v>3400011.0</v>
      </c>
      <c r="B362" s="164" t="s">
        <v>888</v>
      </c>
      <c r="C362" s="165">
        <v>7.0</v>
      </c>
      <c r="D362" s="180"/>
      <c r="E362" s="167">
        <v>1.0</v>
      </c>
      <c r="F362" s="167">
        <v>1.0</v>
      </c>
      <c r="G362" s="178"/>
      <c r="H362" s="167">
        <v>1.0</v>
      </c>
      <c r="I362" s="168">
        <v>1.0</v>
      </c>
      <c r="J362" s="178"/>
      <c r="K362" s="178"/>
      <c r="L362" s="178"/>
      <c r="M362" s="178"/>
      <c r="N362" s="178"/>
      <c r="O362" s="179"/>
      <c r="P362" s="180"/>
      <c r="Q362" s="178"/>
      <c r="R362" s="178"/>
      <c r="S362" s="178"/>
      <c r="T362" s="181"/>
      <c r="U362" s="170">
        <f t="shared" si="84"/>
        <v>1</v>
      </c>
      <c r="V362" s="170" t="str">
        <f t="shared" si="85"/>
        <v/>
      </c>
    </row>
    <row r="363">
      <c r="A363" s="142">
        <v>3500000.0</v>
      </c>
      <c r="B363" s="143" t="s">
        <v>1827</v>
      </c>
      <c r="C363" s="144">
        <v>2.0</v>
      </c>
      <c r="D363" s="145"/>
      <c r="E363" s="146"/>
      <c r="F363" s="146"/>
      <c r="G363" s="146"/>
      <c r="H363" s="146"/>
      <c r="I363" s="147"/>
      <c r="J363" s="146"/>
      <c r="K363" s="146"/>
      <c r="L363" s="146"/>
      <c r="M363" s="146"/>
      <c r="N363" s="146"/>
      <c r="O363" s="148"/>
      <c r="P363" s="145"/>
      <c r="Q363" s="146"/>
      <c r="R363" s="146"/>
      <c r="S363" s="146"/>
      <c r="T363" s="147"/>
    </row>
    <row r="364">
      <c r="A364" s="149">
        <v>3510000.0</v>
      </c>
      <c r="B364" s="150" t="s">
        <v>1828</v>
      </c>
      <c r="C364" s="151">
        <v>3.0</v>
      </c>
      <c r="D364" s="218"/>
      <c r="E364" s="153"/>
      <c r="F364" s="153"/>
      <c r="G364" s="153"/>
      <c r="H364" s="153"/>
      <c r="I364" s="154"/>
      <c r="J364" s="153"/>
      <c r="K364" s="153"/>
      <c r="L364" s="153"/>
      <c r="M364" s="153"/>
      <c r="N364" s="153"/>
      <c r="O364" s="155"/>
      <c r="P364" s="152"/>
      <c r="Q364" s="153"/>
      <c r="R364" s="153"/>
      <c r="S364" s="153"/>
      <c r="T364" s="154"/>
    </row>
    <row r="365">
      <c r="A365" s="163">
        <v>3510001.0</v>
      </c>
      <c r="B365" s="164" t="s">
        <v>890</v>
      </c>
      <c r="C365" s="165">
        <v>7.0</v>
      </c>
      <c r="D365" s="184"/>
      <c r="E365" s="167">
        <v>1.0</v>
      </c>
      <c r="F365" s="167">
        <v>1.0</v>
      </c>
      <c r="G365" s="167">
        <v>1.0</v>
      </c>
      <c r="H365" s="167">
        <v>1.0</v>
      </c>
      <c r="I365" s="168">
        <v>1.0</v>
      </c>
      <c r="J365" s="167">
        <v>1.0</v>
      </c>
      <c r="K365" s="167">
        <v>1.0</v>
      </c>
      <c r="L365" s="167">
        <v>1.0</v>
      </c>
      <c r="M365" s="167">
        <v>1.0</v>
      </c>
      <c r="N365" s="167">
        <v>1.0</v>
      </c>
      <c r="O365" s="169">
        <v>1.0</v>
      </c>
      <c r="P365" s="166">
        <v>1.0</v>
      </c>
      <c r="Q365" s="167">
        <v>1.0</v>
      </c>
      <c r="R365" s="167">
        <v>1.0</v>
      </c>
      <c r="S365" s="167">
        <v>1.0</v>
      </c>
      <c r="T365" s="168">
        <v>1.0</v>
      </c>
      <c r="U365" s="170">
        <f t="shared" ref="U365:U368" si="86">if(I365+O365&gt;0,1,"")</f>
        <v>1</v>
      </c>
      <c r="V365" s="170">
        <f t="shared" ref="V365:V368" si="87">if(T365&gt;0,1,"")</f>
        <v>1</v>
      </c>
    </row>
    <row r="366">
      <c r="A366" s="163">
        <v>3510002.0</v>
      </c>
      <c r="B366" s="164" t="s">
        <v>892</v>
      </c>
      <c r="C366" s="165">
        <v>7.0</v>
      </c>
      <c r="D366" s="166">
        <v>1.0</v>
      </c>
      <c r="E366" s="167">
        <v>1.0</v>
      </c>
      <c r="F366" s="178"/>
      <c r="G366" s="167">
        <v>1.0</v>
      </c>
      <c r="H366" s="178"/>
      <c r="I366" s="168">
        <v>1.0</v>
      </c>
      <c r="J366" s="178"/>
      <c r="K366" s="178"/>
      <c r="L366" s="178"/>
      <c r="M366" s="178"/>
      <c r="N366" s="178"/>
      <c r="O366" s="179"/>
      <c r="P366" s="180"/>
      <c r="Q366" s="178"/>
      <c r="R366" s="178"/>
      <c r="S366" s="178"/>
      <c r="T366" s="181"/>
      <c r="U366" s="170">
        <f t="shared" si="86"/>
        <v>1</v>
      </c>
      <c r="V366" s="170" t="str">
        <f t="shared" si="87"/>
        <v/>
      </c>
    </row>
    <row r="367">
      <c r="A367" s="163">
        <v>3510005.0</v>
      </c>
      <c r="B367" s="164" t="s">
        <v>896</v>
      </c>
      <c r="C367" s="165">
        <v>7.0</v>
      </c>
      <c r="D367" s="166">
        <v>1.0</v>
      </c>
      <c r="E367" s="167">
        <v>1.0</v>
      </c>
      <c r="F367" s="167">
        <v>1.0</v>
      </c>
      <c r="G367" s="178"/>
      <c r="H367" s="167">
        <v>1.0</v>
      </c>
      <c r="I367" s="168">
        <v>1.0</v>
      </c>
      <c r="J367" s="178"/>
      <c r="K367" s="167">
        <v>1.0</v>
      </c>
      <c r="L367" s="167">
        <v>1.0</v>
      </c>
      <c r="M367" s="167">
        <v>1.0</v>
      </c>
      <c r="N367" s="167">
        <v>1.0</v>
      </c>
      <c r="O367" s="169">
        <v>1.0</v>
      </c>
      <c r="P367" s="166">
        <v>1.0</v>
      </c>
      <c r="Q367" s="167">
        <v>1.0</v>
      </c>
      <c r="R367" s="167">
        <v>1.0</v>
      </c>
      <c r="S367" s="167">
        <v>1.0</v>
      </c>
      <c r="T367" s="168">
        <v>1.0</v>
      </c>
      <c r="U367" s="170">
        <f t="shared" si="86"/>
        <v>1</v>
      </c>
      <c r="V367" s="170">
        <f t="shared" si="87"/>
        <v>1</v>
      </c>
    </row>
    <row r="368">
      <c r="A368" s="163">
        <v>3510006.0</v>
      </c>
      <c r="B368" s="164" t="s">
        <v>898</v>
      </c>
      <c r="C368" s="165">
        <v>7.0</v>
      </c>
      <c r="D368" s="166">
        <v>1.0</v>
      </c>
      <c r="E368" s="178"/>
      <c r="F368" s="167">
        <v>1.0</v>
      </c>
      <c r="G368" s="167">
        <v>1.0</v>
      </c>
      <c r="H368" s="167">
        <v>1.0</v>
      </c>
      <c r="I368" s="168">
        <v>1.0</v>
      </c>
      <c r="J368" s="178"/>
      <c r="K368" s="167">
        <v>1.0</v>
      </c>
      <c r="L368" s="167">
        <v>1.0</v>
      </c>
      <c r="M368" s="167">
        <v>1.0</v>
      </c>
      <c r="N368" s="167">
        <v>1.0</v>
      </c>
      <c r="O368" s="169">
        <v>1.0</v>
      </c>
      <c r="P368" s="180"/>
      <c r="Q368" s="178"/>
      <c r="R368" s="178"/>
      <c r="S368" s="178"/>
      <c r="T368" s="181"/>
      <c r="U368" s="170">
        <f t="shared" si="86"/>
        <v>1</v>
      </c>
      <c r="V368" s="170" t="str">
        <f t="shared" si="87"/>
        <v/>
      </c>
    </row>
    <row r="369">
      <c r="A369" s="149">
        <v>3520000.0</v>
      </c>
      <c r="B369" s="150" t="s">
        <v>1829</v>
      </c>
      <c r="C369" s="151">
        <v>3.0</v>
      </c>
      <c r="D369" s="218"/>
      <c r="E369" s="153"/>
      <c r="F369" s="153"/>
      <c r="G369" s="153"/>
      <c r="H369" s="153"/>
      <c r="I369" s="154"/>
      <c r="J369" s="153"/>
      <c r="K369" s="153"/>
      <c r="L369" s="153"/>
      <c r="M369" s="153"/>
      <c r="N369" s="153"/>
      <c r="O369" s="155"/>
      <c r="P369" s="152"/>
      <c r="Q369" s="153"/>
      <c r="R369" s="153"/>
      <c r="S369" s="153"/>
      <c r="T369" s="154"/>
    </row>
    <row r="370">
      <c r="A370" s="163">
        <v>3520001.0</v>
      </c>
      <c r="B370" s="164" t="s">
        <v>900</v>
      </c>
      <c r="C370" s="165">
        <v>7.0</v>
      </c>
      <c r="D370" s="184"/>
      <c r="E370" s="178"/>
      <c r="F370" s="167">
        <v>1.0</v>
      </c>
      <c r="G370" s="167">
        <v>1.0</v>
      </c>
      <c r="H370" s="167">
        <v>1.0</v>
      </c>
      <c r="I370" s="168">
        <v>1.0</v>
      </c>
      <c r="J370" s="167">
        <v>1.0</v>
      </c>
      <c r="K370" s="167">
        <v>1.0</v>
      </c>
      <c r="L370" s="167">
        <v>1.0</v>
      </c>
      <c r="M370" s="167">
        <v>1.0</v>
      </c>
      <c r="N370" s="167">
        <v>1.0</v>
      </c>
      <c r="O370" s="169">
        <v>1.0</v>
      </c>
      <c r="P370" s="166">
        <v>1.0</v>
      </c>
      <c r="Q370" s="167">
        <v>1.0</v>
      </c>
      <c r="R370" s="167">
        <v>1.0</v>
      </c>
      <c r="S370" s="167">
        <v>1.0</v>
      </c>
      <c r="T370" s="168">
        <v>1.0</v>
      </c>
      <c r="U370" s="170">
        <f t="shared" ref="U370:U379" si="88">if(I370+O370&gt;0,1,"")</f>
        <v>1</v>
      </c>
      <c r="V370" s="170">
        <f t="shared" ref="V370:V379" si="89">if(T370&gt;0,1,"")</f>
        <v>1</v>
      </c>
    </row>
    <row r="371">
      <c r="A371" s="163">
        <v>3520002.0</v>
      </c>
      <c r="B371" s="164" t="s">
        <v>902</v>
      </c>
      <c r="C371" s="165">
        <v>7.0</v>
      </c>
      <c r="D371" s="166">
        <v>1.0</v>
      </c>
      <c r="E371" s="167">
        <v>1.0</v>
      </c>
      <c r="F371" s="167">
        <v>1.0</v>
      </c>
      <c r="G371" s="167">
        <v>1.0</v>
      </c>
      <c r="H371" s="167">
        <v>1.0</v>
      </c>
      <c r="I371" s="168">
        <v>1.0</v>
      </c>
      <c r="J371" s="167">
        <v>1.0</v>
      </c>
      <c r="K371" s="167">
        <v>1.0</v>
      </c>
      <c r="L371" s="167">
        <v>1.0</v>
      </c>
      <c r="M371" s="167">
        <v>1.0</v>
      </c>
      <c r="N371" s="167">
        <v>1.0</v>
      </c>
      <c r="O371" s="169">
        <v>1.0</v>
      </c>
      <c r="P371" s="166">
        <v>1.0</v>
      </c>
      <c r="Q371" s="167">
        <v>1.0</v>
      </c>
      <c r="R371" s="167">
        <v>1.0</v>
      </c>
      <c r="S371" s="167">
        <v>1.0</v>
      </c>
      <c r="T371" s="168">
        <v>1.0</v>
      </c>
      <c r="U371" s="170">
        <f t="shared" si="88"/>
        <v>1</v>
      </c>
      <c r="V371" s="170">
        <f t="shared" si="89"/>
        <v>1</v>
      </c>
    </row>
    <row r="372">
      <c r="A372" s="163">
        <v>3520003.0</v>
      </c>
      <c r="B372" s="164" t="s">
        <v>904</v>
      </c>
      <c r="C372" s="165">
        <v>7.0</v>
      </c>
      <c r="D372" s="184"/>
      <c r="E372" s="178"/>
      <c r="F372" s="167">
        <v>1.0</v>
      </c>
      <c r="G372" s="167">
        <v>1.0</v>
      </c>
      <c r="H372" s="167">
        <v>1.0</v>
      </c>
      <c r="I372" s="168">
        <v>1.0</v>
      </c>
      <c r="J372" s="178"/>
      <c r="K372" s="167">
        <v>1.0</v>
      </c>
      <c r="L372" s="167">
        <v>1.0</v>
      </c>
      <c r="M372" s="167">
        <v>1.0</v>
      </c>
      <c r="N372" s="167">
        <v>1.0</v>
      </c>
      <c r="O372" s="169">
        <v>1.0</v>
      </c>
      <c r="P372" s="180"/>
      <c r="Q372" s="167">
        <v>1.0</v>
      </c>
      <c r="R372" s="167">
        <v>1.0</v>
      </c>
      <c r="S372" s="167">
        <v>1.0</v>
      </c>
      <c r="T372" s="168">
        <v>1.0</v>
      </c>
      <c r="U372" s="170">
        <f t="shared" si="88"/>
        <v>1</v>
      </c>
      <c r="V372" s="170">
        <f t="shared" si="89"/>
        <v>1</v>
      </c>
    </row>
    <row r="373">
      <c r="A373" s="163">
        <v>3520004.0</v>
      </c>
      <c r="B373" s="164" t="s">
        <v>906</v>
      </c>
      <c r="C373" s="165">
        <v>7.0</v>
      </c>
      <c r="D373" s="184"/>
      <c r="E373" s="167">
        <v>1.0</v>
      </c>
      <c r="F373" s="178"/>
      <c r="G373" s="167">
        <v>1.0</v>
      </c>
      <c r="H373" s="178"/>
      <c r="I373" s="168">
        <v>1.0</v>
      </c>
      <c r="J373" s="167">
        <v>1.0</v>
      </c>
      <c r="K373" s="178"/>
      <c r="L373" s="178"/>
      <c r="M373" s="178"/>
      <c r="N373" s="167">
        <v>1.0</v>
      </c>
      <c r="O373" s="169">
        <v>1.0</v>
      </c>
      <c r="P373" s="166">
        <v>1.0</v>
      </c>
      <c r="Q373" s="167">
        <v>1.0</v>
      </c>
      <c r="R373" s="167">
        <v>1.0</v>
      </c>
      <c r="S373" s="167">
        <v>1.0</v>
      </c>
      <c r="T373" s="168">
        <v>1.0</v>
      </c>
      <c r="U373" s="170">
        <f t="shared" si="88"/>
        <v>1</v>
      </c>
      <c r="V373" s="170">
        <f t="shared" si="89"/>
        <v>1</v>
      </c>
    </row>
    <row r="374">
      <c r="A374" s="163">
        <v>3520005.0</v>
      </c>
      <c r="B374" s="164" t="s">
        <v>908</v>
      </c>
      <c r="C374" s="165">
        <v>7.0</v>
      </c>
      <c r="D374" s="166">
        <v>1.0</v>
      </c>
      <c r="E374" s="167">
        <v>1.0</v>
      </c>
      <c r="F374" s="167">
        <v>1.0</v>
      </c>
      <c r="G374" s="167">
        <v>1.0</v>
      </c>
      <c r="H374" s="167">
        <v>1.0</v>
      </c>
      <c r="I374" s="168">
        <v>1.0</v>
      </c>
      <c r="J374" s="178"/>
      <c r="K374" s="167">
        <v>1.0</v>
      </c>
      <c r="L374" s="167">
        <v>1.0</v>
      </c>
      <c r="M374" s="167">
        <v>1.0</v>
      </c>
      <c r="N374" s="167">
        <v>1.0</v>
      </c>
      <c r="O374" s="169">
        <v>1.0</v>
      </c>
      <c r="P374" s="166">
        <v>1.0</v>
      </c>
      <c r="Q374" s="167">
        <v>1.0</v>
      </c>
      <c r="R374" s="167">
        <v>1.0</v>
      </c>
      <c r="S374" s="167">
        <v>1.0</v>
      </c>
      <c r="T374" s="168">
        <v>1.0</v>
      </c>
      <c r="U374" s="170">
        <f t="shared" si="88"/>
        <v>1</v>
      </c>
      <c r="V374" s="170">
        <f t="shared" si="89"/>
        <v>1</v>
      </c>
    </row>
    <row r="375">
      <c r="A375" s="163">
        <v>3520008.0</v>
      </c>
      <c r="B375" s="164" t="s">
        <v>914</v>
      </c>
      <c r="C375" s="165">
        <v>7.0</v>
      </c>
      <c r="D375" s="166">
        <v>1.0</v>
      </c>
      <c r="E375" s="167">
        <v>1.0</v>
      </c>
      <c r="F375" s="178"/>
      <c r="G375" s="178"/>
      <c r="H375" s="178"/>
      <c r="I375" s="168">
        <v>1.0</v>
      </c>
      <c r="J375" s="178"/>
      <c r="K375" s="178"/>
      <c r="L375" s="178"/>
      <c r="M375" s="178"/>
      <c r="N375" s="178"/>
      <c r="O375" s="179"/>
      <c r="P375" s="180"/>
      <c r="Q375" s="178"/>
      <c r="R375" s="178"/>
      <c r="S375" s="178"/>
      <c r="T375" s="181"/>
      <c r="U375" s="170">
        <f t="shared" si="88"/>
        <v>1</v>
      </c>
      <c r="V375" s="170" t="str">
        <f t="shared" si="89"/>
        <v/>
      </c>
    </row>
    <row r="376">
      <c r="A376" s="163">
        <v>3520009.0</v>
      </c>
      <c r="B376" s="164" t="s">
        <v>916</v>
      </c>
      <c r="C376" s="165">
        <v>7.0</v>
      </c>
      <c r="D376" s="166">
        <v>1.0</v>
      </c>
      <c r="E376" s="167">
        <v>1.0</v>
      </c>
      <c r="F376" s="167">
        <v>1.0</v>
      </c>
      <c r="G376" s="167">
        <v>1.0</v>
      </c>
      <c r="H376" s="167">
        <v>1.0</v>
      </c>
      <c r="I376" s="168">
        <v>1.0</v>
      </c>
      <c r="J376" s="178"/>
      <c r="K376" s="178"/>
      <c r="L376" s="178"/>
      <c r="M376" s="178"/>
      <c r="N376" s="178"/>
      <c r="O376" s="179"/>
      <c r="P376" s="166">
        <v>1.0</v>
      </c>
      <c r="Q376" s="167">
        <v>1.0</v>
      </c>
      <c r="R376" s="167">
        <v>1.0</v>
      </c>
      <c r="S376" s="167">
        <v>1.0</v>
      </c>
      <c r="T376" s="168">
        <v>1.0</v>
      </c>
      <c r="U376" s="170">
        <f t="shared" si="88"/>
        <v>1</v>
      </c>
      <c r="V376" s="170">
        <f t="shared" si="89"/>
        <v>1</v>
      </c>
    </row>
    <row r="377">
      <c r="A377" s="163">
        <v>3520010.0</v>
      </c>
      <c r="B377" s="164" t="s">
        <v>918</v>
      </c>
      <c r="C377" s="165">
        <v>7.0</v>
      </c>
      <c r="D377" s="166">
        <v>1.0</v>
      </c>
      <c r="E377" s="178"/>
      <c r="F377" s="167">
        <v>1.0</v>
      </c>
      <c r="G377" s="178"/>
      <c r="H377" s="167">
        <v>1.0</v>
      </c>
      <c r="I377" s="168">
        <v>1.0</v>
      </c>
      <c r="J377" s="178"/>
      <c r="K377" s="178"/>
      <c r="L377" s="178"/>
      <c r="M377" s="178"/>
      <c r="N377" s="178"/>
      <c r="O377" s="179"/>
      <c r="P377" s="180"/>
      <c r="Q377" s="178"/>
      <c r="R377" s="178"/>
      <c r="S377" s="178"/>
      <c r="T377" s="181"/>
      <c r="U377" s="170">
        <f t="shared" si="88"/>
        <v>1</v>
      </c>
      <c r="V377" s="170" t="str">
        <f t="shared" si="89"/>
        <v/>
      </c>
    </row>
    <row r="378">
      <c r="A378" s="163">
        <v>3520011.0</v>
      </c>
      <c r="B378" s="164" t="s">
        <v>920</v>
      </c>
      <c r="C378" s="165">
        <v>7.0</v>
      </c>
      <c r="D378" s="166">
        <v>1.0</v>
      </c>
      <c r="E378" s="167">
        <v>1.0</v>
      </c>
      <c r="F378" s="167">
        <v>1.0</v>
      </c>
      <c r="G378" s="167">
        <v>1.0</v>
      </c>
      <c r="H378" s="167">
        <v>1.0</v>
      </c>
      <c r="I378" s="168">
        <v>1.0</v>
      </c>
      <c r="J378" s="178"/>
      <c r="K378" s="167">
        <v>1.0</v>
      </c>
      <c r="L378" s="167">
        <v>1.0</v>
      </c>
      <c r="M378" s="167">
        <v>1.0</v>
      </c>
      <c r="N378" s="167">
        <v>1.0</v>
      </c>
      <c r="O378" s="169">
        <v>1.0</v>
      </c>
      <c r="P378" s="166">
        <v>1.0</v>
      </c>
      <c r="Q378" s="167">
        <v>1.0</v>
      </c>
      <c r="R378" s="167">
        <v>1.0</v>
      </c>
      <c r="S378" s="167">
        <v>1.0</v>
      </c>
      <c r="T378" s="168">
        <v>1.0</v>
      </c>
      <c r="U378" s="170">
        <f t="shared" si="88"/>
        <v>1</v>
      </c>
      <c r="V378" s="170">
        <f t="shared" si="89"/>
        <v>1</v>
      </c>
    </row>
    <row r="379">
      <c r="A379" s="163">
        <v>3520014.0</v>
      </c>
      <c r="B379" s="164" t="s">
        <v>926</v>
      </c>
      <c r="C379" s="165">
        <v>7.0</v>
      </c>
      <c r="D379" s="166">
        <v>1.0</v>
      </c>
      <c r="E379" s="167">
        <v>1.0</v>
      </c>
      <c r="F379" s="178"/>
      <c r="G379" s="178"/>
      <c r="H379" s="178"/>
      <c r="I379" s="168">
        <v>1.0</v>
      </c>
      <c r="J379" s="178"/>
      <c r="K379" s="178"/>
      <c r="L379" s="178"/>
      <c r="M379" s="178"/>
      <c r="N379" s="178"/>
      <c r="O379" s="179"/>
      <c r="P379" s="180"/>
      <c r="Q379" s="178"/>
      <c r="R379" s="178"/>
      <c r="S379" s="178"/>
      <c r="T379" s="181"/>
      <c r="U379" s="170">
        <f t="shared" si="88"/>
        <v>1</v>
      </c>
      <c r="V379" s="170" t="str">
        <f t="shared" si="89"/>
        <v/>
      </c>
    </row>
    <row r="380">
      <c r="A380" s="142">
        <v>3600000.0</v>
      </c>
      <c r="B380" s="143" t="s">
        <v>1830</v>
      </c>
      <c r="C380" s="144">
        <v>2.0</v>
      </c>
      <c r="D380" s="219"/>
      <c r="E380" s="146"/>
      <c r="F380" s="146"/>
      <c r="G380" s="146"/>
      <c r="H380" s="146"/>
      <c r="I380" s="147"/>
      <c r="J380" s="146"/>
      <c r="K380" s="146"/>
      <c r="L380" s="146"/>
      <c r="M380" s="146"/>
      <c r="N380" s="146"/>
      <c r="O380" s="148"/>
      <c r="P380" s="145"/>
      <c r="Q380" s="146"/>
      <c r="R380" s="146"/>
      <c r="S380" s="146"/>
      <c r="T380" s="147"/>
    </row>
    <row r="381">
      <c r="A381" s="182">
        <v>3600001.0</v>
      </c>
      <c r="B381" s="164" t="s">
        <v>929</v>
      </c>
      <c r="C381" s="165">
        <v>7.0</v>
      </c>
      <c r="D381" s="166">
        <v>1.0</v>
      </c>
      <c r="E381" s="167">
        <v>1.0</v>
      </c>
      <c r="F381" s="167">
        <v>1.0</v>
      </c>
      <c r="G381" s="167">
        <v>1.0</v>
      </c>
      <c r="H381" s="167">
        <v>1.0</v>
      </c>
      <c r="I381" s="168">
        <v>1.0</v>
      </c>
      <c r="J381" s="167">
        <v>1.0</v>
      </c>
      <c r="K381" s="167">
        <v>1.0</v>
      </c>
      <c r="L381" s="167">
        <v>1.0</v>
      </c>
      <c r="M381" s="167">
        <v>1.0</v>
      </c>
      <c r="N381" s="167">
        <v>1.0</v>
      </c>
      <c r="O381" s="169">
        <v>1.0</v>
      </c>
      <c r="P381" s="166">
        <v>1.0</v>
      </c>
      <c r="Q381" s="167">
        <v>1.0</v>
      </c>
      <c r="R381" s="167">
        <v>1.0</v>
      </c>
      <c r="S381" s="167">
        <v>1.0</v>
      </c>
      <c r="T381" s="168">
        <v>1.0</v>
      </c>
      <c r="U381" s="170">
        <f t="shared" ref="U381:U393" si="90">if(I381+O381&gt;0,1,"")</f>
        <v>1</v>
      </c>
      <c r="V381" s="170">
        <f t="shared" ref="V381:V393" si="91">if(T381&gt;0,1,"")</f>
        <v>1</v>
      </c>
    </row>
    <row r="382">
      <c r="A382" s="163">
        <v>3600003.0</v>
      </c>
      <c r="B382" s="164" t="s">
        <v>934</v>
      </c>
      <c r="C382" s="165">
        <v>7.0</v>
      </c>
      <c r="D382" s="166">
        <v>1.0</v>
      </c>
      <c r="E382" s="167">
        <v>1.0</v>
      </c>
      <c r="F382" s="167">
        <v>1.0</v>
      </c>
      <c r="G382" s="167">
        <v>1.0</v>
      </c>
      <c r="H382" s="167">
        <v>1.0</v>
      </c>
      <c r="I382" s="168">
        <v>1.0</v>
      </c>
      <c r="J382" s="167">
        <v>1.0</v>
      </c>
      <c r="K382" s="167">
        <v>1.0</v>
      </c>
      <c r="L382" s="167">
        <v>1.0</v>
      </c>
      <c r="M382" s="167">
        <v>1.0</v>
      </c>
      <c r="N382" s="167">
        <v>1.0</v>
      </c>
      <c r="O382" s="169">
        <v>1.0</v>
      </c>
      <c r="P382" s="166">
        <v>1.0</v>
      </c>
      <c r="Q382" s="167">
        <v>1.0</v>
      </c>
      <c r="R382" s="167">
        <v>1.0</v>
      </c>
      <c r="S382" s="167">
        <v>1.0</v>
      </c>
      <c r="T382" s="168">
        <v>1.0</v>
      </c>
      <c r="U382" s="170">
        <f t="shared" si="90"/>
        <v>1</v>
      </c>
      <c r="V382" s="170">
        <f t="shared" si="91"/>
        <v>1</v>
      </c>
    </row>
    <row r="383">
      <c r="A383" s="163">
        <v>3600004.0</v>
      </c>
      <c r="B383" s="164" t="s">
        <v>937</v>
      </c>
      <c r="C383" s="165">
        <v>7.0</v>
      </c>
      <c r="D383" s="166">
        <v>1.0</v>
      </c>
      <c r="E383" s="167">
        <v>1.0</v>
      </c>
      <c r="F383" s="167">
        <v>1.0</v>
      </c>
      <c r="G383" s="167">
        <v>1.0</v>
      </c>
      <c r="H383" s="167">
        <v>1.0</v>
      </c>
      <c r="I383" s="168">
        <v>1.0</v>
      </c>
      <c r="J383" s="167">
        <v>1.0</v>
      </c>
      <c r="K383" s="167">
        <v>1.0</v>
      </c>
      <c r="L383" s="167">
        <v>1.0</v>
      </c>
      <c r="M383" s="167">
        <v>1.0</v>
      </c>
      <c r="N383" s="167">
        <v>1.0</v>
      </c>
      <c r="O383" s="169">
        <v>1.0</v>
      </c>
      <c r="P383" s="166">
        <v>1.0</v>
      </c>
      <c r="Q383" s="167">
        <v>1.0</v>
      </c>
      <c r="R383" s="167">
        <v>1.0</v>
      </c>
      <c r="S383" s="167">
        <v>1.0</v>
      </c>
      <c r="T383" s="168">
        <v>1.0</v>
      </c>
      <c r="U383" s="170">
        <f t="shared" si="90"/>
        <v>1</v>
      </c>
      <c r="V383" s="170">
        <f t="shared" si="91"/>
        <v>1</v>
      </c>
    </row>
    <row r="384">
      <c r="A384" s="163">
        <v>3600005.0</v>
      </c>
      <c r="B384" s="164" t="s">
        <v>940</v>
      </c>
      <c r="C384" s="165">
        <v>7.0</v>
      </c>
      <c r="D384" s="166">
        <v>1.0</v>
      </c>
      <c r="E384" s="167">
        <v>1.0</v>
      </c>
      <c r="F384" s="167">
        <v>1.0</v>
      </c>
      <c r="G384" s="167">
        <v>1.0</v>
      </c>
      <c r="H384" s="167">
        <v>1.0</v>
      </c>
      <c r="I384" s="168">
        <v>1.0</v>
      </c>
      <c r="J384" s="167">
        <v>1.0</v>
      </c>
      <c r="K384" s="167">
        <v>1.0</v>
      </c>
      <c r="L384" s="167">
        <v>1.0</v>
      </c>
      <c r="M384" s="167">
        <v>1.0</v>
      </c>
      <c r="N384" s="167">
        <v>1.0</v>
      </c>
      <c r="O384" s="169">
        <v>1.0</v>
      </c>
      <c r="P384" s="166">
        <v>1.0</v>
      </c>
      <c r="Q384" s="167">
        <v>1.0</v>
      </c>
      <c r="R384" s="167">
        <v>1.0</v>
      </c>
      <c r="S384" s="167">
        <v>1.0</v>
      </c>
      <c r="T384" s="168">
        <v>1.0</v>
      </c>
      <c r="U384" s="170">
        <f t="shared" si="90"/>
        <v>1</v>
      </c>
      <c r="V384" s="170">
        <f t="shared" si="91"/>
        <v>1</v>
      </c>
    </row>
    <row r="385">
      <c r="A385" s="163">
        <v>3600008.0</v>
      </c>
      <c r="B385" s="164" t="s">
        <v>946</v>
      </c>
      <c r="C385" s="165">
        <v>7.0</v>
      </c>
      <c r="D385" s="166">
        <v>1.0</v>
      </c>
      <c r="E385" s="167">
        <v>1.0</v>
      </c>
      <c r="F385" s="167">
        <v>1.0</v>
      </c>
      <c r="G385" s="167">
        <v>1.0</v>
      </c>
      <c r="H385" s="167">
        <v>1.0</v>
      </c>
      <c r="I385" s="168">
        <v>1.0</v>
      </c>
      <c r="J385" s="167">
        <v>1.0</v>
      </c>
      <c r="K385" s="167">
        <v>1.0</v>
      </c>
      <c r="L385" s="167">
        <v>1.0</v>
      </c>
      <c r="M385" s="167">
        <v>1.0</v>
      </c>
      <c r="N385" s="167">
        <v>1.0</v>
      </c>
      <c r="O385" s="169">
        <v>1.0</v>
      </c>
      <c r="P385" s="166">
        <v>1.0</v>
      </c>
      <c r="Q385" s="167">
        <v>1.0</v>
      </c>
      <c r="R385" s="167">
        <v>1.0</v>
      </c>
      <c r="S385" s="167">
        <v>1.0</v>
      </c>
      <c r="T385" s="168">
        <v>1.0</v>
      </c>
      <c r="U385" s="170">
        <f t="shared" si="90"/>
        <v>1</v>
      </c>
      <c r="V385" s="170">
        <f t="shared" si="91"/>
        <v>1</v>
      </c>
    </row>
    <row r="386">
      <c r="A386" s="163">
        <v>3600009.0</v>
      </c>
      <c r="B386" s="164" t="s">
        <v>949</v>
      </c>
      <c r="C386" s="165">
        <v>7.0</v>
      </c>
      <c r="D386" s="166">
        <v>1.0</v>
      </c>
      <c r="E386" s="167">
        <v>1.0</v>
      </c>
      <c r="F386" s="167">
        <v>1.0</v>
      </c>
      <c r="G386" s="167">
        <v>1.0</v>
      </c>
      <c r="H386" s="167">
        <v>1.0</v>
      </c>
      <c r="I386" s="168">
        <v>1.0</v>
      </c>
      <c r="J386" s="167">
        <v>1.0</v>
      </c>
      <c r="K386" s="167">
        <v>1.0</v>
      </c>
      <c r="L386" s="167">
        <v>1.0</v>
      </c>
      <c r="M386" s="167">
        <v>1.0</v>
      </c>
      <c r="N386" s="167">
        <v>1.0</v>
      </c>
      <c r="O386" s="169">
        <v>1.0</v>
      </c>
      <c r="P386" s="166">
        <v>1.0</v>
      </c>
      <c r="Q386" s="167">
        <v>1.0</v>
      </c>
      <c r="R386" s="167">
        <v>1.0</v>
      </c>
      <c r="S386" s="167">
        <v>1.0</v>
      </c>
      <c r="T386" s="168">
        <v>1.0</v>
      </c>
      <c r="U386" s="170">
        <f t="shared" si="90"/>
        <v>1</v>
      </c>
      <c r="V386" s="170">
        <f t="shared" si="91"/>
        <v>1</v>
      </c>
    </row>
    <row r="387">
      <c r="A387" s="163">
        <v>3600010.0</v>
      </c>
      <c r="B387" s="164" t="s">
        <v>951</v>
      </c>
      <c r="C387" s="165">
        <v>7.0</v>
      </c>
      <c r="D387" s="166">
        <v>1.0</v>
      </c>
      <c r="E387" s="167">
        <v>1.0</v>
      </c>
      <c r="F387" s="167">
        <v>1.0</v>
      </c>
      <c r="G387" s="167">
        <v>1.0</v>
      </c>
      <c r="H387" s="167">
        <v>1.0</v>
      </c>
      <c r="I387" s="168">
        <v>1.0</v>
      </c>
      <c r="J387" s="167">
        <v>1.0</v>
      </c>
      <c r="K387" s="167">
        <v>1.0</v>
      </c>
      <c r="L387" s="167">
        <v>1.0</v>
      </c>
      <c r="M387" s="167">
        <v>1.0</v>
      </c>
      <c r="N387" s="167">
        <v>1.0</v>
      </c>
      <c r="O387" s="169">
        <v>1.0</v>
      </c>
      <c r="P387" s="166">
        <v>1.0</v>
      </c>
      <c r="Q387" s="167">
        <v>1.0</v>
      </c>
      <c r="R387" s="167">
        <v>1.0</v>
      </c>
      <c r="S387" s="167">
        <v>1.0</v>
      </c>
      <c r="T387" s="168">
        <v>1.0</v>
      </c>
      <c r="U387" s="170">
        <f t="shared" si="90"/>
        <v>1</v>
      </c>
      <c r="V387" s="170">
        <f t="shared" si="91"/>
        <v>1</v>
      </c>
    </row>
    <row r="388">
      <c r="A388" s="163">
        <v>3600012.0</v>
      </c>
      <c r="B388" s="164" t="s">
        <v>955</v>
      </c>
      <c r="C388" s="165">
        <v>7.0</v>
      </c>
      <c r="D388" s="166">
        <v>1.0</v>
      </c>
      <c r="E388" s="167">
        <v>1.0</v>
      </c>
      <c r="F388" s="167">
        <v>1.0</v>
      </c>
      <c r="G388" s="167">
        <v>1.0</v>
      </c>
      <c r="H388" s="167">
        <v>1.0</v>
      </c>
      <c r="I388" s="168">
        <v>1.0</v>
      </c>
      <c r="J388" s="178"/>
      <c r="K388" s="167">
        <v>1.0</v>
      </c>
      <c r="L388" s="167">
        <v>1.0</v>
      </c>
      <c r="M388" s="167">
        <v>1.0</v>
      </c>
      <c r="N388" s="167">
        <v>1.0</v>
      </c>
      <c r="O388" s="169">
        <v>1.0</v>
      </c>
      <c r="P388" s="166">
        <v>1.0</v>
      </c>
      <c r="Q388" s="167">
        <v>1.0</v>
      </c>
      <c r="R388" s="167">
        <v>1.0</v>
      </c>
      <c r="S388" s="167">
        <v>1.0</v>
      </c>
      <c r="T388" s="168">
        <v>1.0</v>
      </c>
      <c r="U388" s="170">
        <f t="shared" si="90"/>
        <v>1</v>
      </c>
      <c r="V388" s="170">
        <f t="shared" si="91"/>
        <v>1</v>
      </c>
    </row>
    <row r="389">
      <c r="A389" s="163">
        <v>3600013.0</v>
      </c>
      <c r="B389" s="164" t="s">
        <v>957</v>
      </c>
      <c r="C389" s="165">
        <v>7.0</v>
      </c>
      <c r="D389" s="166">
        <v>1.0</v>
      </c>
      <c r="E389" s="167">
        <v>1.0</v>
      </c>
      <c r="F389" s="167">
        <v>1.0</v>
      </c>
      <c r="G389" s="167">
        <v>1.0</v>
      </c>
      <c r="H389" s="167">
        <v>1.0</v>
      </c>
      <c r="I389" s="168">
        <v>1.0</v>
      </c>
      <c r="J389" s="167">
        <v>1.0</v>
      </c>
      <c r="K389" s="167">
        <v>1.0</v>
      </c>
      <c r="L389" s="167">
        <v>1.0</v>
      </c>
      <c r="M389" s="167">
        <v>1.0</v>
      </c>
      <c r="N389" s="167">
        <v>1.0</v>
      </c>
      <c r="O389" s="169">
        <v>1.0</v>
      </c>
      <c r="P389" s="166">
        <v>1.0</v>
      </c>
      <c r="Q389" s="167">
        <v>1.0</v>
      </c>
      <c r="R389" s="167">
        <v>1.0</v>
      </c>
      <c r="S389" s="167">
        <v>1.0</v>
      </c>
      <c r="T389" s="168">
        <v>1.0</v>
      </c>
      <c r="U389" s="170">
        <f t="shared" si="90"/>
        <v>1</v>
      </c>
      <c r="V389" s="170">
        <f t="shared" si="91"/>
        <v>1</v>
      </c>
    </row>
    <row r="390">
      <c r="A390" s="163">
        <v>3600014.0</v>
      </c>
      <c r="B390" s="164" t="s">
        <v>960</v>
      </c>
      <c r="C390" s="165">
        <v>7.0</v>
      </c>
      <c r="D390" s="166">
        <v>1.0</v>
      </c>
      <c r="E390" s="167">
        <v>1.0</v>
      </c>
      <c r="F390" s="167">
        <v>1.0</v>
      </c>
      <c r="G390" s="167">
        <v>1.0</v>
      </c>
      <c r="H390" s="167">
        <v>1.0</v>
      </c>
      <c r="I390" s="168">
        <v>1.0</v>
      </c>
      <c r="J390" s="178"/>
      <c r="K390" s="167">
        <v>1.0</v>
      </c>
      <c r="L390" s="167">
        <v>1.0</v>
      </c>
      <c r="M390" s="167">
        <v>1.0</v>
      </c>
      <c r="N390" s="167">
        <v>1.0</v>
      </c>
      <c r="O390" s="169">
        <v>1.0</v>
      </c>
      <c r="P390" s="166">
        <v>1.0</v>
      </c>
      <c r="Q390" s="167">
        <v>1.0</v>
      </c>
      <c r="R390" s="167">
        <v>1.0</v>
      </c>
      <c r="S390" s="167">
        <v>1.0</v>
      </c>
      <c r="T390" s="168">
        <v>1.0</v>
      </c>
      <c r="U390" s="170">
        <f t="shared" si="90"/>
        <v>1</v>
      </c>
      <c r="V390" s="170">
        <f t="shared" si="91"/>
        <v>1</v>
      </c>
    </row>
    <row r="391">
      <c r="A391" s="163">
        <v>3600016.0</v>
      </c>
      <c r="B391" s="164" t="s">
        <v>964</v>
      </c>
      <c r="C391" s="165">
        <v>7.0</v>
      </c>
      <c r="D391" s="184"/>
      <c r="E391" s="178"/>
      <c r="F391" s="167">
        <v>1.0</v>
      </c>
      <c r="G391" s="178"/>
      <c r="H391" s="167">
        <v>1.0</v>
      </c>
      <c r="I391" s="168">
        <v>1.0</v>
      </c>
      <c r="J391" s="178"/>
      <c r="K391" s="178"/>
      <c r="L391" s="167">
        <v>1.0</v>
      </c>
      <c r="M391" s="167">
        <v>1.0</v>
      </c>
      <c r="N391" s="178"/>
      <c r="O391" s="169">
        <v>1.0</v>
      </c>
      <c r="P391" s="180"/>
      <c r="Q391" s="178"/>
      <c r="R391" s="178"/>
      <c r="S391" s="178"/>
      <c r="T391" s="181"/>
      <c r="U391" s="170">
        <f t="shared" si="90"/>
        <v>1</v>
      </c>
      <c r="V391" s="170" t="str">
        <f t="shared" si="91"/>
        <v/>
      </c>
    </row>
    <row r="392">
      <c r="A392" s="163">
        <v>3600017.0</v>
      </c>
      <c r="B392" s="164" t="s">
        <v>966</v>
      </c>
      <c r="C392" s="165">
        <v>7.0</v>
      </c>
      <c r="D392" s="166">
        <v>1.0</v>
      </c>
      <c r="E392" s="167">
        <v>1.0</v>
      </c>
      <c r="F392" s="167">
        <v>1.0</v>
      </c>
      <c r="G392" s="167">
        <v>1.0</v>
      </c>
      <c r="H392" s="167">
        <v>1.0</v>
      </c>
      <c r="I392" s="168">
        <v>1.0</v>
      </c>
      <c r="J392" s="178"/>
      <c r="K392" s="167">
        <v>1.0</v>
      </c>
      <c r="L392" s="167">
        <v>1.0</v>
      </c>
      <c r="M392" s="167">
        <v>1.0</v>
      </c>
      <c r="N392" s="178"/>
      <c r="O392" s="169">
        <v>1.0</v>
      </c>
      <c r="P392" s="166">
        <v>1.0</v>
      </c>
      <c r="Q392" s="167">
        <v>1.0</v>
      </c>
      <c r="R392" s="167">
        <v>1.0</v>
      </c>
      <c r="S392" s="167">
        <v>1.0</v>
      </c>
      <c r="T392" s="168">
        <v>1.0</v>
      </c>
      <c r="U392" s="170">
        <f t="shared" si="90"/>
        <v>1</v>
      </c>
      <c r="V392" s="170">
        <f t="shared" si="91"/>
        <v>1</v>
      </c>
    </row>
    <row r="393">
      <c r="A393" s="163">
        <v>3600018.0</v>
      </c>
      <c r="B393" s="164" t="s">
        <v>968</v>
      </c>
      <c r="C393" s="165">
        <v>7.0</v>
      </c>
      <c r="D393" s="166">
        <v>1.0</v>
      </c>
      <c r="E393" s="167">
        <v>1.0</v>
      </c>
      <c r="F393" s="178"/>
      <c r="G393" s="178"/>
      <c r="H393" s="167">
        <v>1.0</v>
      </c>
      <c r="I393" s="168">
        <v>1.0</v>
      </c>
      <c r="J393" s="167">
        <v>1.0</v>
      </c>
      <c r="K393" s="167">
        <v>1.0</v>
      </c>
      <c r="L393" s="167">
        <v>1.0</v>
      </c>
      <c r="M393" s="167">
        <v>1.0</v>
      </c>
      <c r="N393" s="167">
        <v>1.0</v>
      </c>
      <c r="O393" s="169">
        <v>1.0</v>
      </c>
      <c r="P393" s="166">
        <v>1.0</v>
      </c>
      <c r="Q393" s="178"/>
      <c r="R393" s="178"/>
      <c r="S393" s="167">
        <v>1.0</v>
      </c>
      <c r="T393" s="168">
        <v>1.0</v>
      </c>
      <c r="U393" s="170">
        <f t="shared" si="90"/>
        <v>1</v>
      </c>
      <c r="V393" s="170">
        <f t="shared" si="91"/>
        <v>1</v>
      </c>
    </row>
    <row r="394">
      <c r="A394" s="142">
        <v>3700000.0</v>
      </c>
      <c r="B394" s="143" t="s">
        <v>1831</v>
      </c>
      <c r="C394" s="144">
        <v>2.0</v>
      </c>
      <c r="D394" s="219"/>
      <c r="E394" s="146"/>
      <c r="F394" s="146"/>
      <c r="G394" s="146"/>
      <c r="H394" s="146"/>
      <c r="I394" s="147"/>
      <c r="J394" s="146"/>
      <c r="K394" s="146"/>
      <c r="L394" s="146"/>
      <c r="M394" s="146"/>
      <c r="N394" s="146"/>
      <c r="O394" s="148"/>
      <c r="P394" s="145"/>
      <c r="Q394" s="146"/>
      <c r="R394" s="146"/>
      <c r="S394" s="146"/>
      <c r="T394" s="147"/>
    </row>
    <row r="395">
      <c r="A395" s="163">
        <v>3700001.0</v>
      </c>
      <c r="B395" s="164" t="s">
        <v>970</v>
      </c>
      <c r="C395" s="165">
        <v>7.0</v>
      </c>
      <c r="D395" s="166">
        <v>1.0</v>
      </c>
      <c r="E395" s="167">
        <v>1.0</v>
      </c>
      <c r="F395" s="167">
        <v>1.0</v>
      </c>
      <c r="G395" s="167">
        <v>1.0</v>
      </c>
      <c r="H395" s="167">
        <v>1.0</v>
      </c>
      <c r="I395" s="168">
        <v>1.0</v>
      </c>
      <c r="J395" s="178"/>
      <c r="K395" s="178"/>
      <c r="L395" s="178"/>
      <c r="M395" s="178"/>
      <c r="N395" s="178"/>
      <c r="O395" s="179"/>
      <c r="P395" s="180"/>
      <c r="Q395" s="178"/>
      <c r="R395" s="178"/>
      <c r="S395" s="178"/>
      <c r="T395" s="181"/>
      <c r="U395" s="170">
        <f t="shared" ref="U395:U397" si="92">if(I395+O395&gt;0,1,"")</f>
        <v>1</v>
      </c>
      <c r="V395" s="170" t="str">
        <f t="shared" ref="V395:V397" si="93">if(T395&gt;0,1,"")</f>
        <v/>
      </c>
    </row>
    <row r="396">
      <c r="A396" s="163">
        <v>3700002.0</v>
      </c>
      <c r="B396" s="164" t="s">
        <v>972</v>
      </c>
      <c r="C396" s="165">
        <v>7.0</v>
      </c>
      <c r="D396" s="166">
        <v>1.0</v>
      </c>
      <c r="E396" s="167">
        <v>1.0</v>
      </c>
      <c r="F396" s="167">
        <v>1.0</v>
      </c>
      <c r="G396" s="167">
        <v>1.0</v>
      </c>
      <c r="H396" s="167">
        <v>1.0</v>
      </c>
      <c r="I396" s="168">
        <v>1.0</v>
      </c>
      <c r="J396" s="167">
        <v>1.0</v>
      </c>
      <c r="K396" s="167">
        <v>1.0</v>
      </c>
      <c r="L396" s="167">
        <v>1.0</v>
      </c>
      <c r="M396" s="167">
        <v>1.0</v>
      </c>
      <c r="N396" s="167">
        <v>1.0</v>
      </c>
      <c r="O396" s="169">
        <v>1.0</v>
      </c>
      <c r="P396" s="166">
        <v>1.0</v>
      </c>
      <c r="Q396" s="167">
        <v>1.0</v>
      </c>
      <c r="R396" s="167">
        <v>1.0</v>
      </c>
      <c r="S396" s="167">
        <v>1.0</v>
      </c>
      <c r="T396" s="168">
        <v>1.0</v>
      </c>
      <c r="U396" s="170">
        <f t="shared" si="92"/>
        <v>1</v>
      </c>
      <c r="V396" s="170">
        <f t="shared" si="93"/>
        <v>1</v>
      </c>
    </row>
    <row r="397">
      <c r="A397" s="163">
        <v>3700003.0</v>
      </c>
      <c r="B397" s="164" t="s">
        <v>974</v>
      </c>
      <c r="C397" s="165">
        <v>7.0</v>
      </c>
      <c r="D397" s="166">
        <v>1.0</v>
      </c>
      <c r="E397" s="167">
        <v>1.0</v>
      </c>
      <c r="F397" s="167">
        <v>1.0</v>
      </c>
      <c r="G397" s="167">
        <v>1.0</v>
      </c>
      <c r="H397" s="167">
        <v>1.0</v>
      </c>
      <c r="I397" s="168">
        <v>1.0</v>
      </c>
      <c r="J397" s="178"/>
      <c r="K397" s="178"/>
      <c r="L397" s="178"/>
      <c r="M397" s="178"/>
      <c r="N397" s="178"/>
      <c r="O397" s="179"/>
      <c r="P397" s="180"/>
      <c r="Q397" s="178"/>
      <c r="R397" s="178"/>
      <c r="S397" s="178"/>
      <c r="T397" s="181"/>
      <c r="U397" s="170">
        <f t="shared" si="92"/>
        <v>1</v>
      </c>
      <c r="V397" s="170" t="str">
        <f t="shared" si="93"/>
        <v/>
      </c>
    </row>
    <row r="398">
      <c r="A398" s="136">
        <v>4000000.0</v>
      </c>
      <c r="B398" s="137" t="s">
        <v>1832</v>
      </c>
      <c r="C398" s="131">
        <v>1.0</v>
      </c>
      <c r="D398" s="138"/>
      <c r="E398" s="139"/>
      <c r="F398" s="139"/>
      <c r="G398" s="139"/>
      <c r="H398" s="139"/>
      <c r="I398" s="140"/>
      <c r="J398" s="139"/>
      <c r="K398" s="139"/>
      <c r="L398" s="139"/>
      <c r="M398" s="139"/>
      <c r="N398" s="139"/>
      <c r="O398" s="141"/>
      <c r="P398" s="138"/>
      <c r="Q398" s="139"/>
      <c r="R398" s="139"/>
      <c r="S398" s="139"/>
      <c r="T398" s="140"/>
    </row>
    <row r="399">
      <c r="A399" s="142">
        <v>4100000.0</v>
      </c>
      <c r="B399" s="143" t="s">
        <v>1833</v>
      </c>
      <c r="C399" s="144">
        <v>2.0</v>
      </c>
      <c r="D399" s="145"/>
      <c r="E399" s="146"/>
      <c r="F399" s="146"/>
      <c r="G399" s="146"/>
      <c r="H399" s="146"/>
      <c r="I399" s="147"/>
      <c r="J399" s="146"/>
      <c r="K399" s="146"/>
      <c r="L399" s="146"/>
      <c r="M399" s="146"/>
      <c r="N399" s="146"/>
      <c r="O399" s="148"/>
      <c r="P399" s="145"/>
      <c r="Q399" s="146"/>
      <c r="R399" s="146"/>
      <c r="S399" s="146"/>
      <c r="T399" s="147"/>
    </row>
    <row r="400">
      <c r="A400" s="149">
        <v>4110000.0</v>
      </c>
      <c r="B400" s="150" t="s">
        <v>1834</v>
      </c>
      <c r="C400" s="151">
        <v>3.0</v>
      </c>
      <c r="D400" s="152"/>
      <c r="E400" s="153"/>
      <c r="F400" s="153"/>
      <c r="G400" s="153"/>
      <c r="H400" s="153"/>
      <c r="I400" s="154"/>
      <c r="J400" s="153"/>
      <c r="K400" s="153"/>
      <c r="L400" s="153"/>
      <c r="M400" s="153"/>
      <c r="N400" s="153"/>
      <c r="O400" s="155"/>
      <c r="P400" s="152"/>
      <c r="Q400" s="153"/>
      <c r="R400" s="153"/>
      <c r="S400" s="153"/>
      <c r="T400" s="154"/>
    </row>
    <row r="401">
      <c r="A401" s="156">
        <v>4111000.0</v>
      </c>
      <c r="B401" s="157" t="s">
        <v>1835</v>
      </c>
      <c r="C401" s="158">
        <v>4.0</v>
      </c>
      <c r="D401" s="220"/>
      <c r="E401" s="160"/>
      <c r="F401" s="160"/>
      <c r="G401" s="160"/>
      <c r="H401" s="160"/>
      <c r="I401" s="161"/>
      <c r="J401" s="160"/>
      <c r="K401" s="160"/>
      <c r="L401" s="160"/>
      <c r="M401" s="160"/>
      <c r="N401" s="160"/>
      <c r="O401" s="162"/>
      <c r="P401" s="159"/>
      <c r="Q401" s="160"/>
      <c r="R401" s="160"/>
      <c r="S401" s="160"/>
      <c r="T401" s="161"/>
    </row>
    <row r="402">
      <c r="A402" s="163">
        <v>4111001.0</v>
      </c>
      <c r="B402" s="164" t="s">
        <v>976</v>
      </c>
      <c r="C402" s="165">
        <v>7.0</v>
      </c>
      <c r="D402" s="166">
        <v>1.0</v>
      </c>
      <c r="E402" s="167">
        <v>1.0</v>
      </c>
      <c r="F402" s="167">
        <v>1.0</v>
      </c>
      <c r="G402" s="167">
        <v>1.0</v>
      </c>
      <c r="H402" s="167">
        <v>1.0</v>
      </c>
      <c r="I402" s="168">
        <v>1.0</v>
      </c>
      <c r="J402" s="167">
        <v>1.0</v>
      </c>
      <c r="K402" s="167">
        <v>1.0</v>
      </c>
      <c r="L402" s="167">
        <v>1.0</v>
      </c>
      <c r="M402" s="167">
        <v>1.0</v>
      </c>
      <c r="N402" s="167">
        <v>1.0</v>
      </c>
      <c r="O402" s="169">
        <v>1.0</v>
      </c>
      <c r="P402" s="166">
        <v>1.0</v>
      </c>
      <c r="Q402" s="167">
        <v>1.0</v>
      </c>
      <c r="R402" s="167">
        <v>1.0</v>
      </c>
      <c r="S402" s="167">
        <v>1.0</v>
      </c>
      <c r="T402" s="168">
        <v>1.0</v>
      </c>
      <c r="U402" s="170">
        <f t="shared" ref="U402:U413" si="94">if(I402+O402&gt;0,1,"")</f>
        <v>1</v>
      </c>
      <c r="V402" s="170">
        <f t="shared" ref="V402:V413" si="95">if(T402&gt;0,1,"")</f>
        <v>1</v>
      </c>
    </row>
    <row r="403">
      <c r="A403" s="163">
        <v>4111002.0</v>
      </c>
      <c r="B403" s="164" t="s">
        <v>978</v>
      </c>
      <c r="C403" s="165">
        <v>7.0</v>
      </c>
      <c r="D403" s="166">
        <v>1.0</v>
      </c>
      <c r="E403" s="167">
        <v>1.0</v>
      </c>
      <c r="F403" s="167">
        <v>1.0</v>
      </c>
      <c r="G403" s="167">
        <v>1.0</v>
      </c>
      <c r="H403" s="167">
        <v>1.0</v>
      </c>
      <c r="I403" s="168">
        <v>1.0</v>
      </c>
      <c r="J403" s="167">
        <v>1.0</v>
      </c>
      <c r="K403" s="167">
        <v>1.0</v>
      </c>
      <c r="L403" s="167">
        <v>1.0</v>
      </c>
      <c r="M403" s="167">
        <v>1.0</v>
      </c>
      <c r="N403" s="167">
        <v>1.0</v>
      </c>
      <c r="O403" s="169">
        <v>1.0</v>
      </c>
      <c r="P403" s="166">
        <v>1.0</v>
      </c>
      <c r="Q403" s="167">
        <v>1.0</v>
      </c>
      <c r="R403" s="167">
        <v>1.0</v>
      </c>
      <c r="S403" s="167">
        <v>1.0</v>
      </c>
      <c r="T403" s="168">
        <v>1.0</v>
      </c>
      <c r="U403" s="170">
        <f t="shared" si="94"/>
        <v>1</v>
      </c>
      <c r="V403" s="170">
        <f t="shared" si="95"/>
        <v>1</v>
      </c>
    </row>
    <row r="404">
      <c r="A404" s="163">
        <v>4111003.0</v>
      </c>
      <c r="B404" s="164" t="s">
        <v>980</v>
      </c>
      <c r="C404" s="165">
        <v>7.0</v>
      </c>
      <c r="D404" s="166">
        <v>1.0</v>
      </c>
      <c r="E404" s="167">
        <v>1.0</v>
      </c>
      <c r="F404" s="167">
        <v>1.0</v>
      </c>
      <c r="G404" s="167">
        <v>1.0</v>
      </c>
      <c r="H404" s="167">
        <v>1.0</v>
      </c>
      <c r="I404" s="168">
        <v>1.0</v>
      </c>
      <c r="J404" s="167">
        <v>1.0</v>
      </c>
      <c r="K404" s="167">
        <v>1.0</v>
      </c>
      <c r="L404" s="167">
        <v>1.0</v>
      </c>
      <c r="M404" s="167">
        <v>1.0</v>
      </c>
      <c r="N404" s="167">
        <v>1.0</v>
      </c>
      <c r="O404" s="169">
        <v>1.0</v>
      </c>
      <c r="P404" s="166">
        <v>1.0</v>
      </c>
      <c r="Q404" s="167">
        <v>1.0</v>
      </c>
      <c r="R404" s="167">
        <v>1.0</v>
      </c>
      <c r="S404" s="167">
        <v>1.0</v>
      </c>
      <c r="T404" s="168">
        <v>1.0</v>
      </c>
      <c r="U404" s="170">
        <f t="shared" si="94"/>
        <v>1</v>
      </c>
      <c r="V404" s="170">
        <f t="shared" si="95"/>
        <v>1</v>
      </c>
    </row>
    <row r="405">
      <c r="A405" s="163">
        <v>4111008.0</v>
      </c>
      <c r="B405" s="164" t="s">
        <v>990</v>
      </c>
      <c r="C405" s="165">
        <v>7.0</v>
      </c>
      <c r="D405" s="166">
        <v>1.0</v>
      </c>
      <c r="E405" s="167">
        <v>1.0</v>
      </c>
      <c r="F405" s="167">
        <v>1.0</v>
      </c>
      <c r="G405" s="167">
        <v>1.0</v>
      </c>
      <c r="H405" s="167">
        <v>1.0</v>
      </c>
      <c r="I405" s="168">
        <v>1.0</v>
      </c>
      <c r="J405" s="167">
        <v>1.0</v>
      </c>
      <c r="K405" s="167">
        <v>1.0</v>
      </c>
      <c r="L405" s="167">
        <v>1.0</v>
      </c>
      <c r="M405" s="167">
        <v>1.0</v>
      </c>
      <c r="N405" s="167">
        <v>1.0</v>
      </c>
      <c r="O405" s="169">
        <v>1.0</v>
      </c>
      <c r="P405" s="166">
        <v>1.0</v>
      </c>
      <c r="Q405" s="167">
        <v>1.0</v>
      </c>
      <c r="R405" s="167">
        <v>1.0</v>
      </c>
      <c r="S405" s="167">
        <v>1.0</v>
      </c>
      <c r="T405" s="168">
        <v>1.0</v>
      </c>
      <c r="U405" s="170">
        <f t="shared" si="94"/>
        <v>1</v>
      </c>
      <c r="V405" s="170">
        <f t="shared" si="95"/>
        <v>1</v>
      </c>
    </row>
    <row r="406">
      <c r="A406" s="163">
        <v>4111011.0</v>
      </c>
      <c r="B406" s="164" t="s">
        <v>996</v>
      </c>
      <c r="C406" s="165">
        <v>7.0</v>
      </c>
      <c r="D406" s="184"/>
      <c r="E406" s="167">
        <v>1.0</v>
      </c>
      <c r="F406" s="178"/>
      <c r="G406" s="167">
        <v>1.0</v>
      </c>
      <c r="H406" s="167">
        <v>1.0</v>
      </c>
      <c r="I406" s="168">
        <v>1.0</v>
      </c>
      <c r="J406" s="178"/>
      <c r="K406" s="167">
        <v>1.0</v>
      </c>
      <c r="L406" s="167">
        <v>1.0</v>
      </c>
      <c r="M406" s="167">
        <v>1.0</v>
      </c>
      <c r="N406" s="167">
        <v>1.0</v>
      </c>
      <c r="O406" s="169">
        <v>1.0</v>
      </c>
      <c r="P406" s="166">
        <v>1.0</v>
      </c>
      <c r="Q406" s="167">
        <v>1.0</v>
      </c>
      <c r="R406" s="167">
        <v>1.0</v>
      </c>
      <c r="S406" s="167">
        <v>1.0</v>
      </c>
      <c r="T406" s="168">
        <v>1.0</v>
      </c>
      <c r="U406" s="170">
        <f t="shared" si="94"/>
        <v>1</v>
      </c>
      <c r="V406" s="170">
        <f t="shared" si="95"/>
        <v>1</v>
      </c>
    </row>
    <row r="407">
      <c r="A407" s="163">
        <v>4111012.0</v>
      </c>
      <c r="B407" s="164" t="s">
        <v>998</v>
      </c>
      <c r="C407" s="165">
        <v>7.0</v>
      </c>
      <c r="D407" s="166">
        <v>1.0</v>
      </c>
      <c r="E407" s="167">
        <v>1.0</v>
      </c>
      <c r="F407" s="167">
        <v>1.0</v>
      </c>
      <c r="G407" s="167">
        <v>1.0</v>
      </c>
      <c r="H407" s="167">
        <v>1.0</v>
      </c>
      <c r="I407" s="168">
        <v>1.0</v>
      </c>
      <c r="J407" s="178"/>
      <c r="K407" s="167">
        <v>1.0</v>
      </c>
      <c r="L407" s="167">
        <v>1.0</v>
      </c>
      <c r="M407" s="167">
        <v>1.0</v>
      </c>
      <c r="N407" s="167">
        <v>1.0</v>
      </c>
      <c r="O407" s="169">
        <v>1.0</v>
      </c>
      <c r="P407" s="166">
        <v>1.0</v>
      </c>
      <c r="Q407" s="167">
        <v>1.0</v>
      </c>
      <c r="R407" s="167">
        <v>1.0</v>
      </c>
      <c r="S407" s="167">
        <v>1.0</v>
      </c>
      <c r="T407" s="168">
        <v>1.0</v>
      </c>
      <c r="U407" s="170">
        <f t="shared" si="94"/>
        <v>1</v>
      </c>
      <c r="V407" s="170">
        <f t="shared" si="95"/>
        <v>1</v>
      </c>
    </row>
    <row r="408">
      <c r="A408" s="163">
        <v>4111014.0</v>
      </c>
      <c r="B408" s="164" t="s">
        <v>1002</v>
      </c>
      <c r="C408" s="165">
        <v>7.0</v>
      </c>
      <c r="D408" s="166">
        <v>1.0</v>
      </c>
      <c r="E408" s="167">
        <v>1.0</v>
      </c>
      <c r="F408" s="167">
        <v>1.0</v>
      </c>
      <c r="G408" s="167">
        <v>1.0</v>
      </c>
      <c r="H408" s="167">
        <v>1.0</v>
      </c>
      <c r="I408" s="168">
        <v>1.0</v>
      </c>
      <c r="J408" s="167">
        <v>1.0</v>
      </c>
      <c r="K408" s="167">
        <v>1.0</v>
      </c>
      <c r="L408" s="167">
        <v>1.0</v>
      </c>
      <c r="M408" s="167">
        <v>1.0</v>
      </c>
      <c r="N408" s="167">
        <v>1.0</v>
      </c>
      <c r="O408" s="169">
        <v>1.0</v>
      </c>
      <c r="P408" s="166">
        <v>1.0</v>
      </c>
      <c r="Q408" s="167">
        <v>1.0</v>
      </c>
      <c r="R408" s="167">
        <v>1.0</v>
      </c>
      <c r="S408" s="167">
        <v>1.0</v>
      </c>
      <c r="T408" s="168">
        <v>1.0</v>
      </c>
      <c r="U408" s="170">
        <f t="shared" si="94"/>
        <v>1</v>
      </c>
      <c r="V408" s="170">
        <f t="shared" si="95"/>
        <v>1</v>
      </c>
    </row>
    <row r="409">
      <c r="A409" s="163">
        <v>4111016.0</v>
      </c>
      <c r="B409" s="164" t="s">
        <v>1006</v>
      </c>
      <c r="C409" s="165">
        <v>7.0</v>
      </c>
      <c r="D409" s="166">
        <v>1.0</v>
      </c>
      <c r="E409" s="167">
        <v>1.0</v>
      </c>
      <c r="F409" s="167">
        <v>1.0</v>
      </c>
      <c r="G409" s="167">
        <v>1.0</v>
      </c>
      <c r="H409" s="167">
        <v>1.0</v>
      </c>
      <c r="I409" s="168">
        <v>1.0</v>
      </c>
      <c r="J409" s="167">
        <v>1.0</v>
      </c>
      <c r="K409" s="167">
        <v>1.0</v>
      </c>
      <c r="L409" s="167">
        <v>1.0</v>
      </c>
      <c r="M409" s="167">
        <v>1.0</v>
      </c>
      <c r="N409" s="167">
        <v>1.0</v>
      </c>
      <c r="O409" s="169">
        <v>1.0</v>
      </c>
      <c r="P409" s="166">
        <v>1.0</v>
      </c>
      <c r="Q409" s="167">
        <v>1.0</v>
      </c>
      <c r="R409" s="167">
        <v>1.0</v>
      </c>
      <c r="S409" s="167">
        <v>1.0</v>
      </c>
      <c r="T409" s="168">
        <v>1.0</v>
      </c>
      <c r="U409" s="170">
        <f t="shared" si="94"/>
        <v>1</v>
      </c>
      <c r="V409" s="170">
        <f t="shared" si="95"/>
        <v>1</v>
      </c>
    </row>
    <row r="410">
      <c r="A410" s="163">
        <v>4111018.0</v>
      </c>
      <c r="B410" s="164" t="s">
        <v>1010</v>
      </c>
      <c r="C410" s="165">
        <v>7.0</v>
      </c>
      <c r="D410" s="166">
        <v>1.0</v>
      </c>
      <c r="E410" s="167">
        <v>1.0</v>
      </c>
      <c r="F410" s="167">
        <v>1.0</v>
      </c>
      <c r="G410" s="167">
        <v>1.0</v>
      </c>
      <c r="H410" s="167">
        <v>1.0</v>
      </c>
      <c r="I410" s="168">
        <v>1.0</v>
      </c>
      <c r="J410" s="167">
        <v>1.0</v>
      </c>
      <c r="K410" s="167">
        <v>1.0</v>
      </c>
      <c r="L410" s="167">
        <v>1.0</v>
      </c>
      <c r="M410" s="167">
        <v>1.0</v>
      </c>
      <c r="N410" s="167">
        <v>1.0</v>
      </c>
      <c r="O410" s="169">
        <v>1.0</v>
      </c>
      <c r="P410" s="166">
        <v>1.0</v>
      </c>
      <c r="Q410" s="167">
        <v>1.0</v>
      </c>
      <c r="R410" s="167">
        <v>1.0</v>
      </c>
      <c r="S410" s="167">
        <v>1.0</v>
      </c>
      <c r="T410" s="168">
        <v>1.0</v>
      </c>
      <c r="U410" s="170">
        <f t="shared" si="94"/>
        <v>1</v>
      </c>
      <c r="V410" s="170">
        <f t="shared" si="95"/>
        <v>1</v>
      </c>
    </row>
    <row r="411">
      <c r="A411" s="163">
        <v>4111019.0</v>
      </c>
      <c r="B411" s="164" t="s">
        <v>1012</v>
      </c>
      <c r="C411" s="165">
        <v>7.0</v>
      </c>
      <c r="D411" s="166">
        <v>1.0</v>
      </c>
      <c r="E411" s="167">
        <v>1.0</v>
      </c>
      <c r="F411" s="167">
        <v>1.0</v>
      </c>
      <c r="G411" s="167">
        <v>1.0</v>
      </c>
      <c r="H411" s="167">
        <v>1.0</v>
      </c>
      <c r="I411" s="168">
        <v>1.0</v>
      </c>
      <c r="J411" s="167">
        <v>1.0</v>
      </c>
      <c r="K411" s="167">
        <v>1.0</v>
      </c>
      <c r="L411" s="167">
        <v>1.0</v>
      </c>
      <c r="M411" s="167">
        <v>1.0</v>
      </c>
      <c r="N411" s="167">
        <v>1.0</v>
      </c>
      <c r="O411" s="169">
        <v>1.0</v>
      </c>
      <c r="P411" s="166">
        <v>1.0</v>
      </c>
      <c r="Q411" s="167">
        <v>1.0</v>
      </c>
      <c r="R411" s="167">
        <v>1.0</v>
      </c>
      <c r="S411" s="167">
        <v>1.0</v>
      </c>
      <c r="T411" s="168">
        <v>1.0</v>
      </c>
      <c r="U411" s="170">
        <f t="shared" si="94"/>
        <v>1</v>
      </c>
      <c r="V411" s="170">
        <f t="shared" si="95"/>
        <v>1</v>
      </c>
    </row>
    <row r="412">
      <c r="A412" s="163">
        <v>4111021.0</v>
      </c>
      <c r="B412" s="164" t="s">
        <v>1016</v>
      </c>
      <c r="C412" s="165">
        <v>7.0</v>
      </c>
      <c r="D412" s="166">
        <v>1.0</v>
      </c>
      <c r="E412" s="167">
        <v>1.0</v>
      </c>
      <c r="F412" s="167">
        <v>1.0</v>
      </c>
      <c r="G412" s="167">
        <v>1.0</v>
      </c>
      <c r="H412" s="167">
        <v>1.0</v>
      </c>
      <c r="I412" s="168">
        <v>1.0</v>
      </c>
      <c r="J412" s="167">
        <v>1.0</v>
      </c>
      <c r="K412" s="167">
        <v>1.0</v>
      </c>
      <c r="L412" s="167">
        <v>1.0</v>
      </c>
      <c r="M412" s="167">
        <v>1.0</v>
      </c>
      <c r="N412" s="167">
        <v>1.0</v>
      </c>
      <c r="O412" s="169">
        <v>1.0</v>
      </c>
      <c r="P412" s="166">
        <v>1.0</v>
      </c>
      <c r="Q412" s="167">
        <v>1.0</v>
      </c>
      <c r="R412" s="167">
        <v>1.0</v>
      </c>
      <c r="S412" s="167">
        <v>1.0</v>
      </c>
      <c r="T412" s="168">
        <v>1.0</v>
      </c>
      <c r="U412" s="170">
        <f t="shared" si="94"/>
        <v>1</v>
      </c>
      <c r="V412" s="170">
        <f t="shared" si="95"/>
        <v>1</v>
      </c>
    </row>
    <row r="413">
      <c r="A413" s="163">
        <v>4111022.0</v>
      </c>
      <c r="B413" s="164" t="s">
        <v>1018</v>
      </c>
      <c r="C413" s="165">
        <v>7.0</v>
      </c>
      <c r="D413" s="166">
        <v>1.0</v>
      </c>
      <c r="E413" s="167">
        <v>1.0</v>
      </c>
      <c r="F413" s="167">
        <v>1.0</v>
      </c>
      <c r="G413" s="167">
        <v>1.0</v>
      </c>
      <c r="H413" s="167">
        <v>1.0</v>
      </c>
      <c r="I413" s="168">
        <v>1.0</v>
      </c>
      <c r="J413" s="167">
        <v>1.0</v>
      </c>
      <c r="K413" s="167">
        <v>1.0</v>
      </c>
      <c r="L413" s="167">
        <v>1.0</v>
      </c>
      <c r="M413" s="167">
        <v>1.0</v>
      </c>
      <c r="N413" s="167">
        <v>1.0</v>
      </c>
      <c r="O413" s="169">
        <v>1.0</v>
      </c>
      <c r="P413" s="166">
        <v>1.0</v>
      </c>
      <c r="Q413" s="167">
        <v>1.0</v>
      </c>
      <c r="R413" s="167">
        <v>1.0</v>
      </c>
      <c r="S413" s="167">
        <v>1.0</v>
      </c>
      <c r="T413" s="168">
        <v>1.0</v>
      </c>
      <c r="U413" s="170">
        <f t="shared" si="94"/>
        <v>1</v>
      </c>
      <c r="V413" s="170">
        <f t="shared" si="95"/>
        <v>1</v>
      </c>
    </row>
    <row r="414">
      <c r="A414" s="156">
        <v>4112000.0</v>
      </c>
      <c r="B414" s="157" t="s">
        <v>1836</v>
      </c>
      <c r="C414" s="158">
        <v>4.0</v>
      </c>
      <c r="D414" s="220"/>
      <c r="E414" s="160"/>
      <c r="F414" s="160"/>
      <c r="G414" s="160"/>
      <c r="H414" s="160"/>
      <c r="I414" s="161"/>
      <c r="J414" s="160"/>
      <c r="K414" s="160"/>
      <c r="L414" s="160"/>
      <c r="M414" s="160"/>
      <c r="N414" s="160"/>
      <c r="O414" s="162"/>
      <c r="P414" s="159"/>
      <c r="Q414" s="160"/>
      <c r="R414" s="160"/>
      <c r="S414" s="160"/>
      <c r="T414" s="161"/>
    </row>
    <row r="415">
      <c r="A415" s="163">
        <v>4112002.0</v>
      </c>
      <c r="B415" s="164" t="s">
        <v>1022</v>
      </c>
      <c r="C415" s="165">
        <v>7.0</v>
      </c>
      <c r="D415" s="166">
        <v>1.0</v>
      </c>
      <c r="E415" s="167">
        <v>1.0</v>
      </c>
      <c r="F415" s="167">
        <v>1.0</v>
      </c>
      <c r="G415" s="167">
        <v>1.0</v>
      </c>
      <c r="H415" s="167">
        <v>1.0</v>
      </c>
      <c r="I415" s="168">
        <v>1.0</v>
      </c>
      <c r="J415" s="167">
        <v>1.0</v>
      </c>
      <c r="K415" s="167">
        <v>1.0</v>
      </c>
      <c r="L415" s="167">
        <v>1.0</v>
      </c>
      <c r="M415" s="167">
        <v>1.0</v>
      </c>
      <c r="N415" s="167">
        <v>1.0</v>
      </c>
      <c r="O415" s="169">
        <v>1.0</v>
      </c>
      <c r="P415" s="166">
        <v>1.0</v>
      </c>
      <c r="Q415" s="167">
        <v>1.0</v>
      </c>
      <c r="R415" s="167">
        <v>1.0</v>
      </c>
      <c r="S415" s="167">
        <v>1.0</v>
      </c>
      <c r="T415" s="168">
        <v>1.0</v>
      </c>
      <c r="U415" s="170">
        <f t="shared" ref="U415:U419" si="96">if(I415+O415&gt;0,1,"")</f>
        <v>1</v>
      </c>
      <c r="V415" s="170">
        <f t="shared" ref="V415:V419" si="97">if(T415&gt;0,1,"")</f>
        <v>1</v>
      </c>
    </row>
    <row r="416">
      <c r="A416" s="163">
        <v>4112003.0</v>
      </c>
      <c r="B416" s="164" t="s">
        <v>1024</v>
      </c>
      <c r="C416" s="165">
        <v>7.0</v>
      </c>
      <c r="D416" s="166">
        <v>1.0</v>
      </c>
      <c r="E416" s="167">
        <v>1.0</v>
      </c>
      <c r="F416" s="167">
        <v>1.0</v>
      </c>
      <c r="G416" s="167">
        <v>1.0</v>
      </c>
      <c r="H416" s="167">
        <v>1.0</v>
      </c>
      <c r="I416" s="168">
        <v>1.0</v>
      </c>
      <c r="J416" s="167">
        <v>1.0</v>
      </c>
      <c r="K416" s="167">
        <v>1.0</v>
      </c>
      <c r="L416" s="167">
        <v>1.0</v>
      </c>
      <c r="M416" s="167">
        <v>1.0</v>
      </c>
      <c r="N416" s="167">
        <v>1.0</v>
      </c>
      <c r="O416" s="169">
        <v>1.0</v>
      </c>
      <c r="P416" s="166">
        <v>1.0</v>
      </c>
      <c r="Q416" s="178"/>
      <c r="R416" s="167">
        <v>1.0</v>
      </c>
      <c r="S416" s="167">
        <v>1.0</v>
      </c>
      <c r="T416" s="168">
        <v>1.0</v>
      </c>
      <c r="U416" s="170">
        <f t="shared" si="96"/>
        <v>1</v>
      </c>
      <c r="V416" s="170">
        <f t="shared" si="97"/>
        <v>1</v>
      </c>
    </row>
    <row r="417">
      <c r="A417" s="163">
        <v>4112004.0</v>
      </c>
      <c r="B417" s="164" t="s">
        <v>1026</v>
      </c>
      <c r="C417" s="165">
        <v>7.0</v>
      </c>
      <c r="D417" s="166">
        <v>1.0</v>
      </c>
      <c r="E417" s="167">
        <v>1.0</v>
      </c>
      <c r="F417" s="167">
        <v>1.0</v>
      </c>
      <c r="G417" s="167">
        <v>1.0</v>
      </c>
      <c r="H417" s="167">
        <v>1.0</v>
      </c>
      <c r="I417" s="168">
        <v>1.0</v>
      </c>
      <c r="J417" s="167">
        <v>1.0</v>
      </c>
      <c r="K417" s="167">
        <v>1.0</v>
      </c>
      <c r="L417" s="167">
        <v>1.0</v>
      </c>
      <c r="M417" s="167">
        <v>1.0</v>
      </c>
      <c r="N417" s="167">
        <v>1.0</v>
      </c>
      <c r="O417" s="169">
        <v>1.0</v>
      </c>
      <c r="P417" s="166">
        <v>1.0</v>
      </c>
      <c r="Q417" s="167">
        <v>1.0</v>
      </c>
      <c r="R417" s="167">
        <v>1.0</v>
      </c>
      <c r="S417" s="167">
        <v>1.0</v>
      </c>
      <c r="T417" s="168">
        <v>1.0</v>
      </c>
      <c r="U417" s="170">
        <f t="shared" si="96"/>
        <v>1</v>
      </c>
      <c r="V417" s="170">
        <f t="shared" si="97"/>
        <v>1</v>
      </c>
    </row>
    <row r="418">
      <c r="A418" s="163">
        <v>4112005.0</v>
      </c>
      <c r="B418" s="164" t="s">
        <v>1028</v>
      </c>
      <c r="C418" s="165">
        <v>7.0</v>
      </c>
      <c r="D418" s="166">
        <v>1.0</v>
      </c>
      <c r="E418" s="167">
        <v>1.0</v>
      </c>
      <c r="F418" s="167">
        <v>1.0</v>
      </c>
      <c r="G418" s="167">
        <v>1.0</v>
      </c>
      <c r="H418" s="167">
        <v>1.0</v>
      </c>
      <c r="I418" s="168">
        <v>1.0</v>
      </c>
      <c r="J418" s="178"/>
      <c r="K418" s="178"/>
      <c r="L418" s="178"/>
      <c r="M418" s="178"/>
      <c r="N418" s="178"/>
      <c r="O418" s="179"/>
      <c r="P418" s="180"/>
      <c r="Q418" s="178"/>
      <c r="R418" s="178"/>
      <c r="S418" s="178"/>
      <c r="T418" s="181"/>
      <c r="U418" s="170">
        <f t="shared" si="96"/>
        <v>1</v>
      </c>
      <c r="V418" s="170" t="str">
        <f t="shared" si="97"/>
        <v/>
      </c>
    </row>
    <row r="419">
      <c r="A419" s="163">
        <v>4112006.0</v>
      </c>
      <c r="B419" s="164" t="s">
        <v>1030</v>
      </c>
      <c r="C419" s="165">
        <v>7.0</v>
      </c>
      <c r="D419" s="166">
        <v>1.0</v>
      </c>
      <c r="E419" s="167">
        <v>1.0</v>
      </c>
      <c r="F419" s="167">
        <v>1.0</v>
      </c>
      <c r="G419" s="167">
        <v>1.0</v>
      </c>
      <c r="H419" s="167">
        <v>1.0</v>
      </c>
      <c r="I419" s="168">
        <v>1.0</v>
      </c>
      <c r="J419" s="167">
        <v>1.0</v>
      </c>
      <c r="K419" s="167">
        <v>1.0</v>
      </c>
      <c r="L419" s="167">
        <v>1.0</v>
      </c>
      <c r="M419" s="167">
        <v>1.0</v>
      </c>
      <c r="N419" s="167">
        <v>1.0</v>
      </c>
      <c r="O419" s="169">
        <v>1.0</v>
      </c>
      <c r="P419" s="166">
        <v>1.0</v>
      </c>
      <c r="Q419" s="167">
        <v>1.0</v>
      </c>
      <c r="R419" s="167">
        <v>1.0</v>
      </c>
      <c r="S419" s="167">
        <v>1.0</v>
      </c>
      <c r="T419" s="168">
        <v>1.0</v>
      </c>
      <c r="U419" s="170">
        <f t="shared" si="96"/>
        <v>1</v>
      </c>
      <c r="V419" s="170">
        <f t="shared" si="97"/>
        <v>1</v>
      </c>
    </row>
    <row r="420">
      <c r="A420" s="149">
        <v>4120000.0</v>
      </c>
      <c r="B420" s="150" t="s">
        <v>1837</v>
      </c>
      <c r="C420" s="151">
        <v>3.0</v>
      </c>
      <c r="D420" s="152"/>
      <c r="E420" s="153"/>
      <c r="F420" s="153"/>
      <c r="G420" s="153"/>
      <c r="H420" s="153"/>
      <c r="I420" s="154"/>
      <c r="J420" s="153"/>
      <c r="K420" s="153"/>
      <c r="L420" s="153"/>
      <c r="M420" s="153"/>
      <c r="N420" s="153"/>
      <c r="O420" s="155"/>
      <c r="P420" s="152"/>
      <c r="Q420" s="153"/>
      <c r="R420" s="153"/>
      <c r="S420" s="153"/>
      <c r="T420" s="154"/>
    </row>
    <row r="421">
      <c r="A421" s="156">
        <v>4121000.0</v>
      </c>
      <c r="B421" s="157" t="s">
        <v>1838</v>
      </c>
      <c r="C421" s="158">
        <v>4.0</v>
      </c>
      <c r="D421" s="159"/>
      <c r="E421" s="160"/>
      <c r="F421" s="160"/>
      <c r="G421" s="160"/>
      <c r="H421" s="160"/>
      <c r="I421" s="161"/>
      <c r="J421" s="160"/>
      <c r="K421" s="160"/>
      <c r="L421" s="160"/>
      <c r="M421" s="160"/>
      <c r="N421" s="160"/>
      <c r="O421" s="162"/>
      <c r="P421" s="159"/>
      <c r="Q421" s="160"/>
      <c r="R421" s="160"/>
      <c r="S421" s="160"/>
      <c r="T421" s="161"/>
    </row>
    <row r="422">
      <c r="A422" s="171">
        <v>4121100.0</v>
      </c>
      <c r="B422" s="172" t="s">
        <v>1839</v>
      </c>
      <c r="C422" s="173">
        <v>5.0</v>
      </c>
      <c r="D422" s="221"/>
      <c r="E422" s="175"/>
      <c r="F422" s="175"/>
      <c r="G422" s="175"/>
      <c r="H422" s="175"/>
      <c r="I422" s="176"/>
      <c r="J422" s="175"/>
      <c r="K422" s="175"/>
      <c r="L422" s="175"/>
      <c r="M422" s="175"/>
      <c r="N422" s="175"/>
      <c r="O422" s="177"/>
      <c r="P422" s="174"/>
      <c r="Q422" s="175"/>
      <c r="R422" s="175"/>
      <c r="S422" s="175"/>
      <c r="T422" s="176"/>
    </row>
    <row r="423">
      <c r="A423" s="182">
        <v>4121103.0</v>
      </c>
      <c r="B423" s="164" t="s">
        <v>1036</v>
      </c>
      <c r="C423" s="165">
        <v>7.0</v>
      </c>
      <c r="D423" s="166">
        <v>1.0</v>
      </c>
      <c r="E423" s="167">
        <v>1.0</v>
      </c>
      <c r="F423" s="167">
        <v>1.0</v>
      </c>
      <c r="G423" s="167">
        <v>1.0</v>
      </c>
      <c r="H423" s="167">
        <v>1.0</v>
      </c>
      <c r="I423" s="168">
        <v>1.0</v>
      </c>
      <c r="J423" s="167">
        <v>1.0</v>
      </c>
      <c r="K423" s="167">
        <v>1.0</v>
      </c>
      <c r="L423" s="167">
        <v>1.0</v>
      </c>
      <c r="M423" s="167">
        <v>1.0</v>
      </c>
      <c r="N423" s="167">
        <v>1.0</v>
      </c>
      <c r="O423" s="169">
        <v>1.0</v>
      </c>
      <c r="P423" s="166">
        <v>1.0</v>
      </c>
      <c r="Q423" s="167">
        <v>1.0</v>
      </c>
      <c r="R423" s="167">
        <v>1.0</v>
      </c>
      <c r="S423" s="167">
        <v>1.0</v>
      </c>
      <c r="T423" s="168">
        <v>1.0</v>
      </c>
      <c r="U423" s="170">
        <f t="shared" ref="U423:U428" si="98">if(I423+O423&gt;0,1,"")</f>
        <v>1</v>
      </c>
      <c r="V423" s="170">
        <f t="shared" ref="V423:V428" si="99">if(T423&gt;0,1,"")</f>
        <v>1</v>
      </c>
    </row>
    <row r="424">
      <c r="A424" s="182">
        <v>4121104.0</v>
      </c>
      <c r="B424" s="164" t="s">
        <v>1038</v>
      </c>
      <c r="C424" s="165">
        <v>7.0</v>
      </c>
      <c r="D424" s="166">
        <v>1.0</v>
      </c>
      <c r="E424" s="167">
        <v>1.0</v>
      </c>
      <c r="F424" s="167">
        <v>1.0</v>
      </c>
      <c r="G424" s="167">
        <v>1.0</v>
      </c>
      <c r="H424" s="167">
        <v>1.0</v>
      </c>
      <c r="I424" s="168">
        <v>1.0</v>
      </c>
      <c r="J424" s="167">
        <v>1.0</v>
      </c>
      <c r="K424" s="167">
        <v>1.0</v>
      </c>
      <c r="L424" s="167">
        <v>1.0</v>
      </c>
      <c r="M424" s="167">
        <v>1.0</v>
      </c>
      <c r="N424" s="167">
        <v>1.0</v>
      </c>
      <c r="O424" s="169">
        <v>1.0</v>
      </c>
      <c r="P424" s="166">
        <v>1.0</v>
      </c>
      <c r="Q424" s="167">
        <v>1.0</v>
      </c>
      <c r="R424" s="167">
        <v>1.0</v>
      </c>
      <c r="S424" s="167">
        <v>1.0</v>
      </c>
      <c r="T424" s="168">
        <v>1.0</v>
      </c>
      <c r="U424" s="170">
        <f t="shared" si="98"/>
        <v>1</v>
      </c>
      <c r="V424" s="170">
        <f t="shared" si="99"/>
        <v>1</v>
      </c>
    </row>
    <row r="425">
      <c r="A425" s="182">
        <v>4121105.0</v>
      </c>
      <c r="B425" s="164" t="s">
        <v>1040</v>
      </c>
      <c r="C425" s="165">
        <v>7.0</v>
      </c>
      <c r="D425" s="166">
        <v>1.0</v>
      </c>
      <c r="E425" s="167">
        <v>1.0</v>
      </c>
      <c r="F425" s="167">
        <v>1.0</v>
      </c>
      <c r="G425" s="167">
        <v>1.0</v>
      </c>
      <c r="H425" s="167">
        <v>1.0</v>
      </c>
      <c r="I425" s="168">
        <v>1.0</v>
      </c>
      <c r="J425" s="167">
        <v>1.0</v>
      </c>
      <c r="K425" s="167">
        <v>1.0</v>
      </c>
      <c r="L425" s="167">
        <v>1.0</v>
      </c>
      <c r="M425" s="167">
        <v>1.0</v>
      </c>
      <c r="N425" s="167">
        <v>1.0</v>
      </c>
      <c r="O425" s="169">
        <v>1.0</v>
      </c>
      <c r="P425" s="166">
        <v>1.0</v>
      </c>
      <c r="Q425" s="167">
        <v>1.0</v>
      </c>
      <c r="R425" s="167">
        <v>1.0</v>
      </c>
      <c r="S425" s="167">
        <v>1.0</v>
      </c>
      <c r="T425" s="168">
        <v>1.0</v>
      </c>
      <c r="U425" s="170">
        <f t="shared" si="98"/>
        <v>1</v>
      </c>
      <c r="V425" s="170">
        <f t="shared" si="99"/>
        <v>1</v>
      </c>
    </row>
    <row r="426">
      <c r="A426" s="182">
        <v>4121106.0</v>
      </c>
      <c r="B426" s="164" t="s">
        <v>1042</v>
      </c>
      <c r="C426" s="165">
        <v>7.0</v>
      </c>
      <c r="D426" s="166">
        <v>1.0</v>
      </c>
      <c r="E426" s="167">
        <v>1.0</v>
      </c>
      <c r="F426" s="167">
        <v>1.0</v>
      </c>
      <c r="G426" s="167">
        <v>1.0</v>
      </c>
      <c r="H426" s="167">
        <v>1.0</v>
      </c>
      <c r="I426" s="168">
        <v>1.0</v>
      </c>
      <c r="J426" s="167">
        <v>1.0</v>
      </c>
      <c r="K426" s="167">
        <v>1.0</v>
      </c>
      <c r="L426" s="167">
        <v>1.0</v>
      </c>
      <c r="M426" s="167">
        <v>1.0</v>
      </c>
      <c r="N426" s="167">
        <v>1.0</v>
      </c>
      <c r="O426" s="169">
        <v>1.0</v>
      </c>
      <c r="P426" s="166">
        <v>1.0</v>
      </c>
      <c r="Q426" s="167">
        <v>1.0</v>
      </c>
      <c r="R426" s="167">
        <v>1.0</v>
      </c>
      <c r="S426" s="167">
        <v>1.0</v>
      </c>
      <c r="T426" s="168">
        <v>1.0</v>
      </c>
      <c r="U426" s="170">
        <f t="shared" si="98"/>
        <v>1</v>
      </c>
      <c r="V426" s="170">
        <f t="shared" si="99"/>
        <v>1</v>
      </c>
    </row>
    <row r="427">
      <c r="A427" s="182">
        <v>4121107.0</v>
      </c>
      <c r="B427" s="164" t="s">
        <v>1840</v>
      </c>
      <c r="C427" s="165">
        <v>7.0</v>
      </c>
      <c r="D427" s="166">
        <v>1.0</v>
      </c>
      <c r="E427" s="178"/>
      <c r="F427" s="167">
        <v>1.0</v>
      </c>
      <c r="G427" s="167">
        <v>1.0</v>
      </c>
      <c r="H427" s="167">
        <v>1.0</v>
      </c>
      <c r="I427" s="168">
        <v>1.0</v>
      </c>
      <c r="J427" s="167">
        <v>1.0</v>
      </c>
      <c r="K427" s="167">
        <v>1.0</v>
      </c>
      <c r="L427" s="167">
        <v>1.0</v>
      </c>
      <c r="M427" s="167">
        <v>1.0</v>
      </c>
      <c r="N427" s="167">
        <v>1.0</v>
      </c>
      <c r="O427" s="169">
        <v>1.0</v>
      </c>
      <c r="P427" s="180"/>
      <c r="Q427" s="167">
        <v>1.0</v>
      </c>
      <c r="R427" s="167">
        <v>1.0</v>
      </c>
      <c r="S427" s="167">
        <v>1.0</v>
      </c>
      <c r="T427" s="168">
        <v>1.0</v>
      </c>
      <c r="U427" s="170">
        <f t="shared" si="98"/>
        <v>1</v>
      </c>
      <c r="V427" s="170">
        <f t="shared" si="99"/>
        <v>1</v>
      </c>
    </row>
    <row r="428">
      <c r="A428" s="163">
        <v>4121108.0</v>
      </c>
      <c r="B428" s="164" t="s">
        <v>1841</v>
      </c>
      <c r="C428" s="165">
        <v>7.0</v>
      </c>
      <c r="D428" s="166">
        <v>1.0</v>
      </c>
      <c r="E428" s="167">
        <v>1.0</v>
      </c>
      <c r="F428" s="167">
        <v>1.0</v>
      </c>
      <c r="G428" s="167">
        <v>1.0</v>
      </c>
      <c r="H428" s="167">
        <v>1.0</v>
      </c>
      <c r="I428" s="168">
        <v>1.0</v>
      </c>
      <c r="J428" s="178"/>
      <c r="K428" s="167">
        <v>1.0</v>
      </c>
      <c r="L428" s="167">
        <v>1.0</v>
      </c>
      <c r="M428" s="167">
        <v>1.0</v>
      </c>
      <c r="N428" s="167">
        <v>1.0</v>
      </c>
      <c r="O428" s="169">
        <v>1.0</v>
      </c>
      <c r="P428" s="166">
        <v>1.0</v>
      </c>
      <c r="Q428" s="178"/>
      <c r="R428" s="167">
        <v>1.0</v>
      </c>
      <c r="S428" s="167">
        <v>1.0</v>
      </c>
      <c r="T428" s="168">
        <v>1.0</v>
      </c>
      <c r="U428" s="170">
        <f t="shared" si="98"/>
        <v>1</v>
      </c>
      <c r="V428" s="170">
        <f t="shared" si="99"/>
        <v>1</v>
      </c>
    </row>
    <row r="429">
      <c r="A429" s="171">
        <v>4121200.0</v>
      </c>
      <c r="B429" s="172" t="s">
        <v>1842</v>
      </c>
      <c r="C429" s="173">
        <v>5.0</v>
      </c>
      <c r="D429" s="221"/>
      <c r="E429" s="175"/>
      <c r="F429" s="175"/>
      <c r="G429" s="175"/>
      <c r="H429" s="175"/>
      <c r="I429" s="176"/>
      <c r="J429" s="175"/>
      <c r="K429" s="175"/>
      <c r="L429" s="175"/>
      <c r="M429" s="175"/>
      <c r="N429" s="175"/>
      <c r="O429" s="177"/>
      <c r="P429" s="174"/>
      <c r="Q429" s="175"/>
      <c r="R429" s="175"/>
      <c r="S429" s="175"/>
      <c r="T429" s="176"/>
    </row>
    <row r="430">
      <c r="A430" s="163">
        <v>4121201.0</v>
      </c>
      <c r="B430" s="164" t="s">
        <v>1048</v>
      </c>
      <c r="C430" s="165">
        <v>7.0</v>
      </c>
      <c r="D430" s="166">
        <v>1.0</v>
      </c>
      <c r="E430" s="167">
        <v>1.0</v>
      </c>
      <c r="F430" s="167">
        <v>1.0</v>
      </c>
      <c r="G430" s="167">
        <v>1.0</v>
      </c>
      <c r="H430" s="167">
        <v>1.0</v>
      </c>
      <c r="I430" s="168">
        <v>1.0</v>
      </c>
      <c r="J430" s="178"/>
      <c r="K430" s="167">
        <v>1.0</v>
      </c>
      <c r="L430" s="167">
        <v>1.0</v>
      </c>
      <c r="M430" s="167">
        <v>1.0</v>
      </c>
      <c r="N430" s="167">
        <v>1.0</v>
      </c>
      <c r="O430" s="169">
        <v>1.0</v>
      </c>
      <c r="P430" s="166">
        <v>1.0</v>
      </c>
      <c r="Q430" s="167">
        <v>1.0</v>
      </c>
      <c r="R430" s="167">
        <v>1.0</v>
      </c>
      <c r="S430" s="167">
        <v>1.0</v>
      </c>
      <c r="T430" s="168">
        <v>1.0</v>
      </c>
      <c r="U430" s="170">
        <f t="shared" ref="U430:U434" si="100">if(I430+O430&gt;0,1,"")</f>
        <v>1</v>
      </c>
      <c r="V430" s="170">
        <f t="shared" ref="V430:V434" si="101">if(T430&gt;0,1,"")</f>
        <v>1</v>
      </c>
    </row>
    <row r="431">
      <c r="A431" s="163">
        <v>4121202.0</v>
      </c>
      <c r="B431" s="164" t="s">
        <v>1050</v>
      </c>
      <c r="C431" s="165">
        <v>7.0</v>
      </c>
      <c r="D431" s="166">
        <v>1.0</v>
      </c>
      <c r="E431" s="167">
        <v>1.0</v>
      </c>
      <c r="F431" s="167">
        <v>1.0</v>
      </c>
      <c r="G431" s="167">
        <v>1.0</v>
      </c>
      <c r="H431" s="167">
        <v>1.0</v>
      </c>
      <c r="I431" s="168">
        <v>1.0</v>
      </c>
      <c r="J431" s="178"/>
      <c r="K431" s="167">
        <v>1.0</v>
      </c>
      <c r="L431" s="167">
        <v>1.0</v>
      </c>
      <c r="M431" s="167">
        <v>1.0</v>
      </c>
      <c r="N431" s="167">
        <v>1.0</v>
      </c>
      <c r="O431" s="169">
        <v>1.0</v>
      </c>
      <c r="P431" s="166">
        <v>1.0</v>
      </c>
      <c r="Q431" s="167">
        <v>1.0</v>
      </c>
      <c r="R431" s="167">
        <v>1.0</v>
      </c>
      <c r="S431" s="167">
        <v>1.0</v>
      </c>
      <c r="T431" s="168">
        <v>1.0</v>
      </c>
      <c r="U431" s="170">
        <f t="shared" si="100"/>
        <v>1</v>
      </c>
      <c r="V431" s="170">
        <f t="shared" si="101"/>
        <v>1</v>
      </c>
    </row>
    <row r="432">
      <c r="A432" s="163">
        <v>4121203.0</v>
      </c>
      <c r="B432" s="164" t="s">
        <v>1052</v>
      </c>
      <c r="C432" s="165">
        <v>7.0</v>
      </c>
      <c r="D432" s="166">
        <v>1.0</v>
      </c>
      <c r="E432" s="167">
        <v>1.0</v>
      </c>
      <c r="F432" s="167">
        <v>1.0</v>
      </c>
      <c r="G432" s="167">
        <v>1.0</v>
      </c>
      <c r="H432" s="167">
        <v>1.0</v>
      </c>
      <c r="I432" s="168">
        <v>1.0</v>
      </c>
      <c r="J432" s="167">
        <v>1.0</v>
      </c>
      <c r="K432" s="167">
        <v>1.0</v>
      </c>
      <c r="L432" s="167">
        <v>1.0</v>
      </c>
      <c r="M432" s="167">
        <v>1.0</v>
      </c>
      <c r="N432" s="167">
        <v>1.0</v>
      </c>
      <c r="O432" s="169">
        <v>1.0</v>
      </c>
      <c r="P432" s="166">
        <v>1.0</v>
      </c>
      <c r="Q432" s="167">
        <v>1.0</v>
      </c>
      <c r="R432" s="167">
        <v>1.0</v>
      </c>
      <c r="S432" s="167">
        <v>1.0</v>
      </c>
      <c r="T432" s="168">
        <v>1.0</v>
      </c>
      <c r="U432" s="170">
        <f t="shared" si="100"/>
        <v>1</v>
      </c>
      <c r="V432" s="170">
        <f t="shared" si="101"/>
        <v>1</v>
      </c>
    </row>
    <row r="433">
      <c r="A433" s="163">
        <v>4121204.0</v>
      </c>
      <c r="B433" s="164" t="s">
        <v>1054</v>
      </c>
      <c r="C433" s="165">
        <v>7.0</v>
      </c>
      <c r="D433" s="166">
        <v>1.0</v>
      </c>
      <c r="E433" s="167">
        <v>1.0</v>
      </c>
      <c r="F433" s="167">
        <v>1.0</v>
      </c>
      <c r="G433" s="167">
        <v>1.0</v>
      </c>
      <c r="H433" s="167">
        <v>1.0</v>
      </c>
      <c r="I433" s="168">
        <v>1.0</v>
      </c>
      <c r="J433" s="167">
        <v>1.0</v>
      </c>
      <c r="K433" s="167">
        <v>1.0</v>
      </c>
      <c r="L433" s="167">
        <v>1.0</v>
      </c>
      <c r="M433" s="167">
        <v>1.0</v>
      </c>
      <c r="N433" s="167">
        <v>1.0</v>
      </c>
      <c r="O433" s="169">
        <v>1.0</v>
      </c>
      <c r="P433" s="166">
        <v>1.0</v>
      </c>
      <c r="Q433" s="167">
        <v>1.0</v>
      </c>
      <c r="R433" s="167">
        <v>1.0</v>
      </c>
      <c r="S433" s="167">
        <v>1.0</v>
      </c>
      <c r="T433" s="168">
        <v>1.0</v>
      </c>
      <c r="U433" s="170">
        <f t="shared" si="100"/>
        <v>1</v>
      </c>
      <c r="V433" s="170">
        <f t="shared" si="101"/>
        <v>1</v>
      </c>
    </row>
    <row r="434">
      <c r="A434" s="205">
        <v>4121205.0</v>
      </c>
      <c r="B434" s="206" t="s">
        <v>1056</v>
      </c>
      <c r="C434" s="207">
        <v>7.0</v>
      </c>
      <c r="D434" s="166">
        <v>1.0</v>
      </c>
      <c r="E434" s="167">
        <v>1.0</v>
      </c>
      <c r="F434" s="167">
        <v>1.0</v>
      </c>
      <c r="G434" s="167">
        <v>1.0</v>
      </c>
      <c r="H434" s="167">
        <v>1.0</v>
      </c>
      <c r="I434" s="168">
        <v>1.0</v>
      </c>
      <c r="J434" s="178"/>
      <c r="K434" s="167">
        <v>1.0</v>
      </c>
      <c r="L434" s="167">
        <v>1.0</v>
      </c>
      <c r="M434" s="167">
        <v>1.0</v>
      </c>
      <c r="N434" s="167">
        <v>1.0</v>
      </c>
      <c r="O434" s="169">
        <v>1.0</v>
      </c>
      <c r="P434" s="166">
        <v>1.0</v>
      </c>
      <c r="Q434" s="167">
        <v>1.0</v>
      </c>
      <c r="R434" s="167">
        <v>1.0</v>
      </c>
      <c r="S434" s="167">
        <v>1.0</v>
      </c>
      <c r="T434" s="168">
        <v>1.0</v>
      </c>
      <c r="U434" s="170">
        <f t="shared" si="100"/>
        <v>1</v>
      </c>
      <c r="V434" s="170">
        <f t="shared" si="101"/>
        <v>1</v>
      </c>
    </row>
    <row r="435">
      <c r="A435" s="171">
        <v>4121300.0</v>
      </c>
      <c r="B435" s="172" t="s">
        <v>1843</v>
      </c>
      <c r="C435" s="173">
        <v>5.0</v>
      </c>
      <c r="D435" s="221"/>
      <c r="E435" s="175"/>
      <c r="F435" s="175"/>
      <c r="G435" s="175"/>
      <c r="H435" s="175"/>
      <c r="I435" s="176"/>
      <c r="J435" s="175"/>
      <c r="K435" s="175"/>
      <c r="L435" s="175"/>
      <c r="M435" s="175"/>
      <c r="N435" s="175"/>
      <c r="O435" s="177"/>
      <c r="P435" s="174"/>
      <c r="Q435" s="175"/>
      <c r="R435" s="175"/>
      <c r="S435" s="175"/>
      <c r="T435" s="176"/>
    </row>
    <row r="436">
      <c r="A436" s="182">
        <v>4121301.0</v>
      </c>
      <c r="B436" s="164" t="s">
        <v>1058</v>
      </c>
      <c r="C436" s="165">
        <v>7.0</v>
      </c>
      <c r="D436" s="166">
        <v>1.0</v>
      </c>
      <c r="E436" s="167">
        <v>1.0</v>
      </c>
      <c r="F436" s="167">
        <v>1.0</v>
      </c>
      <c r="G436" s="167">
        <v>1.0</v>
      </c>
      <c r="H436" s="167">
        <v>1.0</v>
      </c>
      <c r="I436" s="168">
        <v>1.0</v>
      </c>
      <c r="J436" s="178"/>
      <c r="K436" s="167">
        <v>1.0</v>
      </c>
      <c r="L436" s="167">
        <v>1.0</v>
      </c>
      <c r="M436" s="167">
        <v>1.0</v>
      </c>
      <c r="N436" s="167">
        <v>1.0</v>
      </c>
      <c r="O436" s="169">
        <v>1.0</v>
      </c>
      <c r="P436" s="166">
        <v>1.0</v>
      </c>
      <c r="Q436" s="167">
        <v>1.0</v>
      </c>
      <c r="R436" s="167">
        <v>1.0</v>
      </c>
      <c r="S436" s="167">
        <v>1.0</v>
      </c>
      <c r="T436" s="168">
        <v>1.0</v>
      </c>
      <c r="U436" s="170">
        <f>if(I436+O436&gt;0,1,"")</f>
        <v>1</v>
      </c>
      <c r="V436" s="170">
        <f>if(T436&gt;0,1,"")</f>
        <v>1</v>
      </c>
    </row>
    <row r="437">
      <c r="A437" s="222">
        <v>4121400.0</v>
      </c>
      <c r="B437" s="172" t="s">
        <v>1080</v>
      </c>
      <c r="C437" s="173">
        <v>5.0</v>
      </c>
      <c r="D437" s="221"/>
      <c r="E437" s="175"/>
      <c r="F437" s="175"/>
      <c r="G437" s="175"/>
      <c r="H437" s="175"/>
      <c r="I437" s="176"/>
      <c r="J437" s="175"/>
      <c r="K437" s="175"/>
      <c r="L437" s="175"/>
      <c r="M437" s="175"/>
      <c r="N437" s="175"/>
      <c r="O437" s="177"/>
      <c r="P437" s="174"/>
      <c r="Q437" s="175"/>
      <c r="R437" s="175"/>
      <c r="S437" s="175"/>
      <c r="T437" s="176"/>
    </row>
    <row r="438">
      <c r="A438" s="182">
        <v>4121401.0</v>
      </c>
      <c r="B438" s="164" t="s">
        <v>1060</v>
      </c>
      <c r="C438" s="165">
        <v>7.0</v>
      </c>
      <c r="D438" s="166">
        <v>1.0</v>
      </c>
      <c r="E438" s="167">
        <v>1.0</v>
      </c>
      <c r="F438" s="167">
        <v>1.0</v>
      </c>
      <c r="G438" s="167">
        <v>1.0</v>
      </c>
      <c r="H438" s="167">
        <v>1.0</v>
      </c>
      <c r="I438" s="168">
        <v>1.0</v>
      </c>
      <c r="J438" s="167">
        <v>1.0</v>
      </c>
      <c r="K438" s="167">
        <v>1.0</v>
      </c>
      <c r="L438" s="167">
        <v>1.0</v>
      </c>
      <c r="M438" s="167">
        <v>1.0</v>
      </c>
      <c r="N438" s="167">
        <v>1.0</v>
      </c>
      <c r="O438" s="169">
        <v>1.0</v>
      </c>
      <c r="P438" s="166">
        <v>1.0</v>
      </c>
      <c r="Q438" s="167">
        <v>1.0</v>
      </c>
      <c r="R438" s="167">
        <v>1.0</v>
      </c>
      <c r="S438" s="167">
        <v>1.0</v>
      </c>
      <c r="T438" s="168">
        <v>1.0</v>
      </c>
      <c r="U438" s="170">
        <f>if(I438+O438&gt;0,1,"")</f>
        <v>1</v>
      </c>
      <c r="V438" s="170">
        <f>if(T438&gt;0,1,"")</f>
        <v>1</v>
      </c>
    </row>
    <row r="439">
      <c r="A439" s="222">
        <v>4121500.0</v>
      </c>
      <c r="B439" s="172" t="s">
        <v>1844</v>
      </c>
      <c r="C439" s="173">
        <v>5.0</v>
      </c>
      <c r="D439" s="221"/>
      <c r="E439" s="175"/>
      <c r="F439" s="175"/>
      <c r="G439" s="175"/>
      <c r="H439" s="175"/>
      <c r="I439" s="176"/>
      <c r="J439" s="175"/>
      <c r="K439" s="175"/>
      <c r="L439" s="175"/>
      <c r="M439" s="175"/>
      <c r="N439" s="175"/>
      <c r="O439" s="177"/>
      <c r="P439" s="174"/>
      <c r="Q439" s="175"/>
      <c r="R439" s="175"/>
      <c r="S439" s="175"/>
      <c r="T439" s="176"/>
    </row>
    <row r="440">
      <c r="A440" s="182">
        <v>4121502.0</v>
      </c>
      <c r="B440" s="164" t="s">
        <v>1066</v>
      </c>
      <c r="C440" s="165">
        <v>7.0</v>
      </c>
      <c r="D440" s="166">
        <v>1.0</v>
      </c>
      <c r="E440" s="167">
        <v>1.0</v>
      </c>
      <c r="F440" s="167">
        <v>1.0</v>
      </c>
      <c r="G440" s="167">
        <v>1.0</v>
      </c>
      <c r="H440" s="167">
        <v>1.0</v>
      </c>
      <c r="I440" s="168">
        <v>1.0</v>
      </c>
      <c r="J440" s="167">
        <v>1.0</v>
      </c>
      <c r="K440" s="167">
        <v>1.0</v>
      </c>
      <c r="L440" s="167">
        <v>1.0</v>
      </c>
      <c r="M440" s="167">
        <v>1.0</v>
      </c>
      <c r="N440" s="167">
        <v>1.0</v>
      </c>
      <c r="O440" s="169">
        <v>1.0</v>
      </c>
      <c r="P440" s="166">
        <v>1.0</v>
      </c>
      <c r="Q440" s="167">
        <v>1.0</v>
      </c>
      <c r="R440" s="167">
        <v>1.0</v>
      </c>
      <c r="S440" s="167">
        <v>1.0</v>
      </c>
      <c r="T440" s="168">
        <v>1.0</v>
      </c>
      <c r="U440" s="170">
        <f>if(I440+O440&gt;0,1,"")</f>
        <v>1</v>
      </c>
      <c r="V440" s="170">
        <f>if(T440&gt;0,1,"")</f>
        <v>1</v>
      </c>
    </row>
    <row r="441">
      <c r="A441" s="222">
        <v>4121600.0</v>
      </c>
      <c r="B441" s="172" t="s">
        <v>1845</v>
      </c>
      <c r="C441" s="173">
        <v>5.0</v>
      </c>
      <c r="D441" s="221"/>
      <c r="E441" s="175"/>
      <c r="F441" s="175"/>
      <c r="G441" s="175"/>
      <c r="H441" s="175"/>
      <c r="I441" s="176"/>
      <c r="J441" s="175"/>
      <c r="K441" s="175"/>
      <c r="L441" s="175"/>
      <c r="M441" s="175"/>
      <c r="N441" s="175"/>
      <c r="O441" s="177"/>
      <c r="P441" s="174"/>
      <c r="Q441" s="175"/>
      <c r="R441" s="175"/>
      <c r="S441" s="175"/>
      <c r="T441" s="176"/>
    </row>
    <row r="442">
      <c r="A442" s="182">
        <v>4121601.0</v>
      </c>
      <c r="B442" s="164" t="s">
        <v>1068</v>
      </c>
      <c r="C442" s="165">
        <v>7.0</v>
      </c>
      <c r="D442" s="166">
        <v>1.0</v>
      </c>
      <c r="E442" s="167">
        <v>1.0</v>
      </c>
      <c r="F442" s="167">
        <v>1.0</v>
      </c>
      <c r="G442" s="167">
        <v>1.0</v>
      </c>
      <c r="H442" s="167">
        <v>1.0</v>
      </c>
      <c r="I442" s="168">
        <v>1.0</v>
      </c>
      <c r="J442" s="167">
        <v>1.0</v>
      </c>
      <c r="K442" s="167">
        <v>1.0</v>
      </c>
      <c r="L442" s="167">
        <v>1.0</v>
      </c>
      <c r="M442" s="167">
        <v>1.0</v>
      </c>
      <c r="N442" s="167">
        <v>1.0</v>
      </c>
      <c r="O442" s="169">
        <v>1.0</v>
      </c>
      <c r="P442" s="166">
        <v>1.0</v>
      </c>
      <c r="Q442" s="167">
        <v>1.0</v>
      </c>
      <c r="R442" s="167">
        <v>1.0</v>
      </c>
      <c r="S442" s="167">
        <v>1.0</v>
      </c>
      <c r="T442" s="168">
        <v>1.0</v>
      </c>
      <c r="U442" s="170">
        <f>if(I442+O442&gt;0,1,"")</f>
        <v>1</v>
      </c>
      <c r="V442" s="170">
        <f>if(T442&gt;0,1,"")</f>
        <v>1</v>
      </c>
    </row>
    <row r="443">
      <c r="A443" s="223">
        <v>4122000.0</v>
      </c>
      <c r="B443" s="157" t="s">
        <v>1846</v>
      </c>
      <c r="C443" s="158">
        <v>4.0</v>
      </c>
      <c r="D443" s="159"/>
      <c r="E443" s="160"/>
      <c r="F443" s="160"/>
      <c r="G443" s="160"/>
      <c r="H443" s="160"/>
      <c r="I443" s="161"/>
      <c r="J443" s="160"/>
      <c r="K443" s="160"/>
      <c r="L443" s="160"/>
      <c r="M443" s="160"/>
      <c r="N443" s="160"/>
      <c r="O443" s="162"/>
      <c r="P443" s="159"/>
      <c r="Q443" s="160"/>
      <c r="R443" s="160"/>
      <c r="S443" s="160"/>
      <c r="T443" s="161"/>
    </row>
    <row r="444">
      <c r="A444" s="222">
        <v>4122100.0</v>
      </c>
      <c r="B444" s="172" t="s">
        <v>1847</v>
      </c>
      <c r="C444" s="173">
        <v>5.0</v>
      </c>
      <c r="D444" s="221"/>
      <c r="E444" s="175"/>
      <c r="F444" s="175"/>
      <c r="G444" s="175"/>
      <c r="H444" s="175"/>
      <c r="I444" s="176"/>
      <c r="J444" s="175"/>
      <c r="K444" s="175"/>
      <c r="L444" s="175"/>
      <c r="M444" s="175"/>
      <c r="N444" s="175"/>
      <c r="O444" s="177"/>
      <c r="P444" s="174"/>
      <c r="Q444" s="175"/>
      <c r="R444" s="175"/>
      <c r="S444" s="175"/>
      <c r="T444" s="176"/>
    </row>
    <row r="445">
      <c r="A445" s="182">
        <v>4122101.0</v>
      </c>
      <c r="B445" s="164" t="s">
        <v>1070</v>
      </c>
      <c r="C445" s="165">
        <v>7.0</v>
      </c>
      <c r="D445" s="166">
        <v>1.0</v>
      </c>
      <c r="E445" s="167">
        <v>1.0</v>
      </c>
      <c r="F445" s="167">
        <v>1.0</v>
      </c>
      <c r="G445" s="167">
        <v>1.0</v>
      </c>
      <c r="H445" s="167">
        <v>1.0</v>
      </c>
      <c r="I445" s="168">
        <v>1.0</v>
      </c>
      <c r="J445" s="167">
        <v>1.0</v>
      </c>
      <c r="K445" s="167">
        <v>1.0</v>
      </c>
      <c r="L445" s="167">
        <v>1.0</v>
      </c>
      <c r="M445" s="167">
        <v>1.0</v>
      </c>
      <c r="N445" s="167">
        <v>1.0</v>
      </c>
      <c r="O445" s="169">
        <v>1.0</v>
      </c>
      <c r="P445" s="166">
        <v>1.0</v>
      </c>
      <c r="Q445" s="167">
        <v>1.0</v>
      </c>
      <c r="R445" s="167">
        <v>1.0</v>
      </c>
      <c r="S445" s="167">
        <v>1.0</v>
      </c>
      <c r="T445" s="168">
        <v>1.0</v>
      </c>
      <c r="U445" s="170">
        <f t="shared" ref="U445:U446" si="102">if(I445+O445&gt;0,1,"")</f>
        <v>1</v>
      </c>
      <c r="V445" s="170">
        <f t="shared" ref="V445:V446" si="103">if(T445&gt;0,1,"")</f>
        <v>1</v>
      </c>
    </row>
    <row r="446">
      <c r="A446" s="163">
        <v>4122102.0</v>
      </c>
      <c r="B446" s="164" t="s">
        <v>1073</v>
      </c>
      <c r="C446" s="165">
        <v>7.0</v>
      </c>
      <c r="D446" s="166">
        <v>1.0</v>
      </c>
      <c r="E446" s="167">
        <v>1.0</v>
      </c>
      <c r="F446" s="167">
        <v>1.0</v>
      </c>
      <c r="G446" s="167">
        <v>1.0</v>
      </c>
      <c r="H446" s="167">
        <v>1.0</v>
      </c>
      <c r="I446" s="168">
        <v>1.0</v>
      </c>
      <c r="J446" s="178"/>
      <c r="K446" s="167">
        <v>1.0</v>
      </c>
      <c r="L446" s="167">
        <v>1.0</v>
      </c>
      <c r="M446" s="167">
        <v>1.0</v>
      </c>
      <c r="N446" s="167">
        <v>1.0</v>
      </c>
      <c r="O446" s="169">
        <v>1.0</v>
      </c>
      <c r="P446" s="166">
        <v>1.0</v>
      </c>
      <c r="Q446" s="167">
        <v>1.0</v>
      </c>
      <c r="R446" s="167">
        <v>1.0</v>
      </c>
      <c r="S446" s="167">
        <v>1.0</v>
      </c>
      <c r="T446" s="168">
        <v>1.0</v>
      </c>
      <c r="U446" s="170">
        <f t="shared" si="102"/>
        <v>1</v>
      </c>
      <c r="V446" s="170">
        <f t="shared" si="103"/>
        <v>1</v>
      </c>
    </row>
    <row r="447">
      <c r="A447" s="171">
        <v>4122200.0</v>
      </c>
      <c r="B447" s="172" t="s">
        <v>1848</v>
      </c>
      <c r="C447" s="173">
        <v>5.0</v>
      </c>
      <c r="D447" s="221"/>
      <c r="E447" s="175"/>
      <c r="F447" s="175"/>
      <c r="G447" s="175"/>
      <c r="H447" s="175"/>
      <c r="I447" s="176"/>
      <c r="J447" s="175"/>
      <c r="K447" s="175"/>
      <c r="L447" s="175"/>
      <c r="M447" s="175"/>
      <c r="N447" s="175"/>
      <c r="O447" s="177"/>
      <c r="P447" s="174"/>
      <c r="Q447" s="175"/>
      <c r="R447" s="175"/>
      <c r="S447" s="175"/>
      <c r="T447" s="176"/>
    </row>
    <row r="448">
      <c r="A448" s="163">
        <v>4122201.0</v>
      </c>
      <c r="B448" s="164" t="s">
        <v>1075</v>
      </c>
      <c r="C448" s="165">
        <v>7.0</v>
      </c>
      <c r="D448" s="166">
        <v>1.0</v>
      </c>
      <c r="E448" s="167">
        <v>1.0</v>
      </c>
      <c r="F448" s="167">
        <v>1.0</v>
      </c>
      <c r="G448" s="167">
        <v>1.0</v>
      </c>
      <c r="H448" s="167">
        <v>1.0</v>
      </c>
      <c r="I448" s="168">
        <v>1.0</v>
      </c>
      <c r="J448" s="167">
        <v>1.0</v>
      </c>
      <c r="K448" s="167">
        <v>1.0</v>
      </c>
      <c r="L448" s="167">
        <v>1.0</v>
      </c>
      <c r="M448" s="167">
        <v>1.0</v>
      </c>
      <c r="N448" s="167">
        <v>1.0</v>
      </c>
      <c r="O448" s="169">
        <v>1.0</v>
      </c>
      <c r="P448" s="166">
        <v>1.0</v>
      </c>
      <c r="Q448" s="167">
        <v>1.0</v>
      </c>
      <c r="R448" s="167">
        <v>1.0</v>
      </c>
      <c r="S448" s="167">
        <v>1.0</v>
      </c>
      <c r="T448" s="168">
        <v>1.0</v>
      </c>
      <c r="U448" s="170">
        <f t="shared" ref="U448:U450" si="104">if(I448+O448&gt;0,1,"")</f>
        <v>1</v>
      </c>
      <c r="V448" s="170">
        <f t="shared" ref="V448:V450" si="105">if(T448&gt;0,1,"")</f>
        <v>1</v>
      </c>
    </row>
    <row r="449">
      <c r="A449" s="163">
        <v>4122202.0</v>
      </c>
      <c r="B449" s="164" t="s">
        <v>1077</v>
      </c>
      <c r="C449" s="165">
        <v>7.0</v>
      </c>
      <c r="D449" s="166">
        <v>1.0</v>
      </c>
      <c r="E449" s="167">
        <v>1.0</v>
      </c>
      <c r="F449" s="167">
        <v>1.0</v>
      </c>
      <c r="G449" s="167">
        <v>1.0</v>
      </c>
      <c r="H449" s="167">
        <v>1.0</v>
      </c>
      <c r="I449" s="168">
        <v>1.0</v>
      </c>
      <c r="J449" s="167">
        <v>1.0</v>
      </c>
      <c r="K449" s="167">
        <v>1.0</v>
      </c>
      <c r="L449" s="167">
        <v>1.0</v>
      </c>
      <c r="M449" s="167">
        <v>1.0</v>
      </c>
      <c r="N449" s="167">
        <v>1.0</v>
      </c>
      <c r="O449" s="169">
        <v>1.0</v>
      </c>
      <c r="P449" s="166">
        <v>1.0</v>
      </c>
      <c r="Q449" s="167">
        <v>1.0</v>
      </c>
      <c r="R449" s="167">
        <v>1.0</v>
      </c>
      <c r="S449" s="167">
        <v>1.0</v>
      </c>
      <c r="T449" s="168">
        <v>1.0</v>
      </c>
      <c r="U449" s="170">
        <f t="shared" si="104"/>
        <v>1</v>
      </c>
      <c r="V449" s="170">
        <f t="shared" si="105"/>
        <v>1</v>
      </c>
    </row>
    <row r="450">
      <c r="A450" s="163">
        <v>4122203.0</v>
      </c>
      <c r="B450" s="164" t="s">
        <v>1840</v>
      </c>
      <c r="C450" s="165">
        <v>7.0</v>
      </c>
      <c r="D450" s="166">
        <v>1.0</v>
      </c>
      <c r="E450" s="167">
        <v>1.0</v>
      </c>
      <c r="F450" s="167">
        <v>1.0</v>
      </c>
      <c r="G450" s="167">
        <v>1.0</v>
      </c>
      <c r="H450" s="167">
        <v>1.0</v>
      </c>
      <c r="I450" s="168">
        <v>1.0</v>
      </c>
      <c r="J450" s="167">
        <v>1.0</v>
      </c>
      <c r="K450" s="167">
        <v>1.0</v>
      </c>
      <c r="L450" s="167">
        <v>1.0</v>
      </c>
      <c r="M450" s="167">
        <v>1.0</v>
      </c>
      <c r="N450" s="178"/>
      <c r="O450" s="169">
        <v>1.0</v>
      </c>
      <c r="P450" s="166">
        <v>1.0</v>
      </c>
      <c r="Q450" s="167">
        <v>1.0</v>
      </c>
      <c r="R450" s="167">
        <v>1.0</v>
      </c>
      <c r="S450" s="167">
        <v>1.0</v>
      </c>
      <c r="T450" s="168">
        <v>1.0</v>
      </c>
      <c r="U450" s="170">
        <f t="shared" si="104"/>
        <v>1</v>
      </c>
      <c r="V450" s="170">
        <f t="shared" si="105"/>
        <v>1</v>
      </c>
    </row>
    <row r="451">
      <c r="A451" s="171">
        <v>4122400.0</v>
      </c>
      <c r="B451" s="172" t="s">
        <v>1844</v>
      </c>
      <c r="C451" s="173">
        <v>5.0</v>
      </c>
      <c r="D451" s="221"/>
      <c r="E451" s="175"/>
      <c r="F451" s="175"/>
      <c r="G451" s="175"/>
      <c r="H451" s="175"/>
      <c r="I451" s="176"/>
      <c r="J451" s="175"/>
      <c r="K451" s="175"/>
      <c r="L451" s="175"/>
      <c r="M451" s="175"/>
      <c r="N451" s="175"/>
      <c r="O451" s="177"/>
      <c r="P451" s="174"/>
      <c r="Q451" s="175"/>
      <c r="R451" s="175"/>
      <c r="S451" s="175"/>
      <c r="T451" s="176"/>
    </row>
    <row r="452">
      <c r="A452" s="163">
        <v>4122401.0</v>
      </c>
      <c r="B452" s="164" t="s">
        <v>1082</v>
      </c>
      <c r="C452" s="165">
        <v>7.0</v>
      </c>
      <c r="D452" s="166">
        <v>1.0</v>
      </c>
      <c r="E452" s="167">
        <v>1.0</v>
      </c>
      <c r="F452" s="167">
        <v>1.0</v>
      </c>
      <c r="G452" s="167">
        <v>1.0</v>
      </c>
      <c r="H452" s="167">
        <v>1.0</v>
      </c>
      <c r="I452" s="168">
        <v>1.0</v>
      </c>
      <c r="J452" s="167">
        <v>1.0</v>
      </c>
      <c r="K452" s="167">
        <v>1.0</v>
      </c>
      <c r="L452" s="167">
        <v>1.0</v>
      </c>
      <c r="M452" s="167">
        <v>1.0</v>
      </c>
      <c r="N452" s="167">
        <v>1.0</v>
      </c>
      <c r="O452" s="169">
        <v>1.0</v>
      </c>
      <c r="P452" s="166">
        <v>1.0</v>
      </c>
      <c r="Q452" s="167">
        <v>1.0</v>
      </c>
      <c r="R452" s="167">
        <v>1.0</v>
      </c>
      <c r="S452" s="167">
        <v>1.0</v>
      </c>
      <c r="T452" s="168">
        <v>1.0</v>
      </c>
      <c r="U452" s="170">
        <f>if(I452+O452&gt;0,1,"")</f>
        <v>1</v>
      </c>
      <c r="V452" s="170">
        <f>if(T452&gt;0,1,"")</f>
        <v>1</v>
      </c>
    </row>
    <row r="453">
      <c r="A453" s="142">
        <v>4200000.0</v>
      </c>
      <c r="B453" s="143" t="s">
        <v>1849</v>
      </c>
      <c r="C453" s="144">
        <v>2.0</v>
      </c>
      <c r="D453" s="145"/>
      <c r="E453" s="146"/>
      <c r="F453" s="146"/>
      <c r="G453" s="146"/>
      <c r="H453" s="146"/>
      <c r="I453" s="147"/>
      <c r="J453" s="146"/>
      <c r="K453" s="146"/>
      <c r="L453" s="146"/>
      <c r="M453" s="146"/>
      <c r="N453" s="146"/>
      <c r="O453" s="148"/>
      <c r="P453" s="145"/>
      <c r="Q453" s="146"/>
      <c r="R453" s="146"/>
      <c r="S453" s="146"/>
      <c r="T453" s="147"/>
    </row>
    <row r="454">
      <c r="A454" s="149">
        <v>4210000.0</v>
      </c>
      <c r="B454" s="150" t="s">
        <v>1850</v>
      </c>
      <c r="C454" s="151">
        <v>3.0</v>
      </c>
      <c r="D454" s="218"/>
      <c r="E454" s="153"/>
      <c r="F454" s="153"/>
      <c r="G454" s="153"/>
      <c r="H454" s="153"/>
      <c r="I454" s="154"/>
      <c r="J454" s="153"/>
      <c r="K454" s="153"/>
      <c r="L454" s="153"/>
      <c r="M454" s="153"/>
      <c r="N454" s="153"/>
      <c r="O454" s="155"/>
      <c r="P454" s="152"/>
      <c r="Q454" s="153"/>
      <c r="R454" s="153"/>
      <c r="S454" s="153"/>
      <c r="T454" s="154"/>
    </row>
    <row r="455">
      <c r="A455" s="163">
        <v>4210001.0</v>
      </c>
      <c r="B455" s="164" t="s">
        <v>1085</v>
      </c>
      <c r="C455" s="165">
        <v>7.0</v>
      </c>
      <c r="D455" s="166">
        <v>1.0</v>
      </c>
      <c r="E455" s="167">
        <v>1.0</v>
      </c>
      <c r="F455" s="167">
        <v>1.0</v>
      </c>
      <c r="G455" s="167">
        <v>1.0</v>
      </c>
      <c r="H455" s="167">
        <v>1.0</v>
      </c>
      <c r="I455" s="168">
        <v>1.0</v>
      </c>
      <c r="J455" s="167">
        <v>1.0</v>
      </c>
      <c r="K455" s="167">
        <v>1.0</v>
      </c>
      <c r="L455" s="167">
        <v>1.0</v>
      </c>
      <c r="M455" s="167">
        <v>1.0</v>
      </c>
      <c r="N455" s="167">
        <v>1.0</v>
      </c>
      <c r="O455" s="169">
        <v>1.0</v>
      </c>
      <c r="P455" s="166">
        <v>1.0</v>
      </c>
      <c r="Q455" s="167">
        <v>1.0</v>
      </c>
      <c r="R455" s="167">
        <v>1.0</v>
      </c>
      <c r="S455" s="167">
        <v>1.0</v>
      </c>
      <c r="T455" s="168">
        <v>1.0</v>
      </c>
      <c r="U455" s="170">
        <f t="shared" ref="U455:U482" si="106">if(I455+O455&gt;0,1,"")</f>
        <v>1</v>
      </c>
      <c r="V455" s="170">
        <f t="shared" ref="V455:V482" si="107">if(T455&gt;0,1,"")</f>
        <v>1</v>
      </c>
    </row>
    <row r="456">
      <c r="A456" s="163">
        <v>4210002.0</v>
      </c>
      <c r="B456" s="164" t="s">
        <v>1088</v>
      </c>
      <c r="C456" s="165">
        <v>7.0</v>
      </c>
      <c r="D456" s="166">
        <v>1.0</v>
      </c>
      <c r="E456" s="167">
        <v>1.0</v>
      </c>
      <c r="F456" s="167">
        <v>1.0</v>
      </c>
      <c r="G456" s="167">
        <v>1.0</v>
      </c>
      <c r="H456" s="167">
        <v>1.0</v>
      </c>
      <c r="I456" s="168">
        <v>1.0</v>
      </c>
      <c r="J456" s="167">
        <v>1.0</v>
      </c>
      <c r="K456" s="167">
        <v>1.0</v>
      </c>
      <c r="L456" s="167">
        <v>1.0</v>
      </c>
      <c r="M456" s="167">
        <v>1.0</v>
      </c>
      <c r="N456" s="167">
        <v>1.0</v>
      </c>
      <c r="O456" s="169">
        <v>1.0</v>
      </c>
      <c r="P456" s="166">
        <v>1.0</v>
      </c>
      <c r="Q456" s="167">
        <v>1.0</v>
      </c>
      <c r="R456" s="167">
        <v>1.0</v>
      </c>
      <c r="S456" s="167">
        <v>1.0</v>
      </c>
      <c r="T456" s="168">
        <v>1.0</v>
      </c>
      <c r="U456" s="170">
        <f t="shared" si="106"/>
        <v>1</v>
      </c>
      <c r="V456" s="170">
        <f t="shared" si="107"/>
        <v>1</v>
      </c>
    </row>
    <row r="457">
      <c r="A457" s="163">
        <v>4210003.0</v>
      </c>
      <c r="B457" s="164" t="s">
        <v>1090</v>
      </c>
      <c r="C457" s="165">
        <v>7.0</v>
      </c>
      <c r="D457" s="166">
        <v>1.0</v>
      </c>
      <c r="E457" s="167">
        <v>1.0</v>
      </c>
      <c r="F457" s="167">
        <v>1.0</v>
      </c>
      <c r="G457" s="167">
        <v>1.0</v>
      </c>
      <c r="H457" s="167">
        <v>1.0</v>
      </c>
      <c r="I457" s="168">
        <v>1.0</v>
      </c>
      <c r="J457" s="167">
        <v>1.0</v>
      </c>
      <c r="K457" s="167">
        <v>1.0</v>
      </c>
      <c r="L457" s="167">
        <v>1.0</v>
      </c>
      <c r="M457" s="167">
        <v>1.0</v>
      </c>
      <c r="N457" s="167">
        <v>1.0</v>
      </c>
      <c r="O457" s="169">
        <v>1.0</v>
      </c>
      <c r="P457" s="166">
        <v>1.0</v>
      </c>
      <c r="Q457" s="167">
        <v>1.0</v>
      </c>
      <c r="R457" s="167">
        <v>1.0</v>
      </c>
      <c r="S457" s="167">
        <v>1.0</v>
      </c>
      <c r="T457" s="168">
        <v>1.0</v>
      </c>
      <c r="U457" s="170">
        <f t="shared" si="106"/>
        <v>1</v>
      </c>
      <c r="V457" s="170">
        <f t="shared" si="107"/>
        <v>1</v>
      </c>
    </row>
    <row r="458">
      <c r="A458" s="163">
        <v>4210004.0</v>
      </c>
      <c r="B458" s="164" t="s">
        <v>1092</v>
      </c>
      <c r="C458" s="165">
        <v>7.0</v>
      </c>
      <c r="D458" s="166">
        <v>1.0</v>
      </c>
      <c r="E458" s="167">
        <v>1.0</v>
      </c>
      <c r="F458" s="167">
        <v>1.0</v>
      </c>
      <c r="G458" s="167">
        <v>1.0</v>
      </c>
      <c r="H458" s="167">
        <v>1.0</v>
      </c>
      <c r="I458" s="168">
        <v>1.0</v>
      </c>
      <c r="J458" s="178"/>
      <c r="K458" s="167">
        <v>1.0</v>
      </c>
      <c r="L458" s="178"/>
      <c r="M458" s="167">
        <v>1.0</v>
      </c>
      <c r="N458" s="167">
        <v>1.0</v>
      </c>
      <c r="O458" s="169">
        <v>1.0</v>
      </c>
      <c r="P458" s="166">
        <v>1.0</v>
      </c>
      <c r="Q458" s="178"/>
      <c r="R458" s="167">
        <v>1.0</v>
      </c>
      <c r="S458" s="167">
        <v>1.0</v>
      </c>
      <c r="T458" s="168">
        <v>1.0</v>
      </c>
      <c r="U458" s="170">
        <f t="shared" si="106"/>
        <v>1</v>
      </c>
      <c r="V458" s="170">
        <f t="shared" si="107"/>
        <v>1</v>
      </c>
    </row>
    <row r="459">
      <c r="A459" s="163">
        <v>4210005.0</v>
      </c>
      <c r="B459" s="164" t="s">
        <v>1094</v>
      </c>
      <c r="C459" s="165">
        <v>7.0</v>
      </c>
      <c r="D459" s="166">
        <v>1.0</v>
      </c>
      <c r="E459" s="167">
        <v>1.0</v>
      </c>
      <c r="F459" s="167">
        <v>1.0</v>
      </c>
      <c r="G459" s="167">
        <v>1.0</v>
      </c>
      <c r="H459" s="167">
        <v>1.0</v>
      </c>
      <c r="I459" s="168">
        <v>1.0</v>
      </c>
      <c r="J459" s="167">
        <v>1.0</v>
      </c>
      <c r="K459" s="167">
        <v>1.0</v>
      </c>
      <c r="L459" s="167">
        <v>1.0</v>
      </c>
      <c r="M459" s="167">
        <v>1.0</v>
      </c>
      <c r="N459" s="167">
        <v>1.0</v>
      </c>
      <c r="O459" s="169">
        <v>1.0</v>
      </c>
      <c r="P459" s="166">
        <v>1.0</v>
      </c>
      <c r="Q459" s="167">
        <v>1.0</v>
      </c>
      <c r="R459" s="167">
        <v>1.0</v>
      </c>
      <c r="S459" s="167">
        <v>1.0</v>
      </c>
      <c r="T459" s="168">
        <v>1.0</v>
      </c>
      <c r="U459" s="170">
        <f t="shared" si="106"/>
        <v>1</v>
      </c>
      <c r="V459" s="170">
        <f t="shared" si="107"/>
        <v>1</v>
      </c>
    </row>
    <row r="460">
      <c r="A460" s="163">
        <v>4210007.0</v>
      </c>
      <c r="B460" s="164" t="s">
        <v>1098</v>
      </c>
      <c r="C460" s="165">
        <v>7.0</v>
      </c>
      <c r="D460" s="166">
        <v>1.0</v>
      </c>
      <c r="E460" s="167">
        <v>1.0</v>
      </c>
      <c r="F460" s="167">
        <v>1.0</v>
      </c>
      <c r="G460" s="167">
        <v>1.0</v>
      </c>
      <c r="H460" s="167">
        <v>1.0</v>
      </c>
      <c r="I460" s="168">
        <v>1.0</v>
      </c>
      <c r="J460" s="167">
        <v>1.0</v>
      </c>
      <c r="K460" s="167">
        <v>1.0</v>
      </c>
      <c r="L460" s="167">
        <v>1.0</v>
      </c>
      <c r="M460" s="167">
        <v>1.0</v>
      </c>
      <c r="N460" s="167">
        <v>1.0</v>
      </c>
      <c r="O460" s="169">
        <v>1.0</v>
      </c>
      <c r="P460" s="166">
        <v>1.0</v>
      </c>
      <c r="Q460" s="167">
        <v>1.0</v>
      </c>
      <c r="R460" s="167">
        <v>1.0</v>
      </c>
      <c r="S460" s="167">
        <v>1.0</v>
      </c>
      <c r="T460" s="168">
        <v>1.0</v>
      </c>
      <c r="U460" s="170">
        <f t="shared" si="106"/>
        <v>1</v>
      </c>
      <c r="V460" s="170">
        <f t="shared" si="107"/>
        <v>1</v>
      </c>
    </row>
    <row r="461">
      <c r="A461" s="163">
        <v>4210008.0</v>
      </c>
      <c r="B461" s="164" t="s">
        <v>1101</v>
      </c>
      <c r="C461" s="165">
        <v>7.0</v>
      </c>
      <c r="D461" s="166">
        <v>1.0</v>
      </c>
      <c r="E461" s="167">
        <v>1.0</v>
      </c>
      <c r="F461" s="167">
        <v>1.0</v>
      </c>
      <c r="G461" s="167">
        <v>1.0</v>
      </c>
      <c r="H461" s="167">
        <v>1.0</v>
      </c>
      <c r="I461" s="168">
        <v>1.0</v>
      </c>
      <c r="J461" s="167">
        <v>1.0</v>
      </c>
      <c r="K461" s="167">
        <v>1.0</v>
      </c>
      <c r="L461" s="167">
        <v>1.0</v>
      </c>
      <c r="M461" s="167">
        <v>1.0</v>
      </c>
      <c r="N461" s="167">
        <v>1.0</v>
      </c>
      <c r="O461" s="169">
        <v>1.0</v>
      </c>
      <c r="P461" s="166">
        <v>1.0</v>
      </c>
      <c r="Q461" s="167">
        <v>1.0</v>
      </c>
      <c r="R461" s="167">
        <v>1.0</v>
      </c>
      <c r="S461" s="167">
        <v>1.0</v>
      </c>
      <c r="T461" s="168">
        <v>1.0</v>
      </c>
      <c r="U461" s="170">
        <f t="shared" si="106"/>
        <v>1</v>
      </c>
      <c r="V461" s="170">
        <f t="shared" si="107"/>
        <v>1</v>
      </c>
    </row>
    <row r="462">
      <c r="A462" s="163">
        <v>4210009.0</v>
      </c>
      <c r="B462" s="164" t="s">
        <v>1104</v>
      </c>
      <c r="C462" s="165">
        <v>7.0</v>
      </c>
      <c r="D462" s="166">
        <v>1.0</v>
      </c>
      <c r="E462" s="167">
        <v>1.0</v>
      </c>
      <c r="F462" s="167">
        <v>1.0</v>
      </c>
      <c r="G462" s="167">
        <v>1.0</v>
      </c>
      <c r="H462" s="167">
        <v>1.0</v>
      </c>
      <c r="I462" s="168">
        <v>1.0</v>
      </c>
      <c r="J462" s="167">
        <v>1.0</v>
      </c>
      <c r="K462" s="167">
        <v>1.0</v>
      </c>
      <c r="L462" s="167">
        <v>1.0</v>
      </c>
      <c r="M462" s="167">
        <v>1.0</v>
      </c>
      <c r="N462" s="167">
        <v>1.0</v>
      </c>
      <c r="O462" s="169">
        <v>1.0</v>
      </c>
      <c r="P462" s="166">
        <v>1.0</v>
      </c>
      <c r="Q462" s="167">
        <v>1.0</v>
      </c>
      <c r="R462" s="167">
        <v>1.0</v>
      </c>
      <c r="S462" s="167">
        <v>1.0</v>
      </c>
      <c r="T462" s="168">
        <v>1.0</v>
      </c>
      <c r="U462" s="170">
        <f t="shared" si="106"/>
        <v>1</v>
      </c>
      <c r="V462" s="170">
        <f t="shared" si="107"/>
        <v>1</v>
      </c>
    </row>
    <row r="463">
      <c r="A463" s="163">
        <v>4210010.0</v>
      </c>
      <c r="B463" s="164" t="s">
        <v>1107</v>
      </c>
      <c r="C463" s="165">
        <v>7.0</v>
      </c>
      <c r="D463" s="166">
        <v>1.0</v>
      </c>
      <c r="E463" s="167">
        <v>1.0</v>
      </c>
      <c r="F463" s="167">
        <v>1.0</v>
      </c>
      <c r="G463" s="167">
        <v>1.0</v>
      </c>
      <c r="H463" s="167">
        <v>1.0</v>
      </c>
      <c r="I463" s="168">
        <v>1.0</v>
      </c>
      <c r="J463" s="167">
        <v>1.0</v>
      </c>
      <c r="K463" s="167">
        <v>1.0</v>
      </c>
      <c r="L463" s="167">
        <v>1.0</v>
      </c>
      <c r="M463" s="167">
        <v>1.0</v>
      </c>
      <c r="N463" s="167">
        <v>1.0</v>
      </c>
      <c r="O463" s="169">
        <v>1.0</v>
      </c>
      <c r="P463" s="166">
        <v>1.0</v>
      </c>
      <c r="Q463" s="167">
        <v>1.0</v>
      </c>
      <c r="R463" s="167">
        <v>1.0</v>
      </c>
      <c r="S463" s="167">
        <v>1.0</v>
      </c>
      <c r="T463" s="168">
        <v>1.0</v>
      </c>
      <c r="U463" s="170">
        <f t="shared" si="106"/>
        <v>1</v>
      </c>
      <c r="V463" s="170">
        <f t="shared" si="107"/>
        <v>1</v>
      </c>
    </row>
    <row r="464">
      <c r="A464" s="163">
        <v>4210011.0</v>
      </c>
      <c r="B464" s="164" t="s">
        <v>1110</v>
      </c>
      <c r="C464" s="165">
        <v>7.0</v>
      </c>
      <c r="D464" s="166">
        <v>1.0</v>
      </c>
      <c r="E464" s="167">
        <v>1.0</v>
      </c>
      <c r="F464" s="167">
        <v>1.0</v>
      </c>
      <c r="G464" s="167">
        <v>1.0</v>
      </c>
      <c r="H464" s="167">
        <v>1.0</v>
      </c>
      <c r="I464" s="168">
        <v>1.0</v>
      </c>
      <c r="J464" s="167">
        <v>1.0</v>
      </c>
      <c r="K464" s="167">
        <v>1.0</v>
      </c>
      <c r="L464" s="167">
        <v>1.0</v>
      </c>
      <c r="M464" s="167">
        <v>1.0</v>
      </c>
      <c r="N464" s="167">
        <v>1.0</v>
      </c>
      <c r="O464" s="169">
        <v>1.0</v>
      </c>
      <c r="P464" s="166">
        <v>1.0</v>
      </c>
      <c r="Q464" s="167">
        <v>1.0</v>
      </c>
      <c r="R464" s="167">
        <v>1.0</v>
      </c>
      <c r="S464" s="167">
        <v>1.0</v>
      </c>
      <c r="T464" s="168">
        <v>1.0</v>
      </c>
      <c r="U464" s="170">
        <f t="shared" si="106"/>
        <v>1</v>
      </c>
      <c r="V464" s="170">
        <f t="shared" si="107"/>
        <v>1</v>
      </c>
    </row>
    <row r="465">
      <c r="A465" s="163">
        <v>4210012.0</v>
      </c>
      <c r="B465" s="164" t="s">
        <v>1113</v>
      </c>
      <c r="C465" s="165">
        <v>7.0</v>
      </c>
      <c r="D465" s="166">
        <v>1.0</v>
      </c>
      <c r="E465" s="167">
        <v>1.0</v>
      </c>
      <c r="F465" s="167">
        <v>1.0</v>
      </c>
      <c r="G465" s="167">
        <v>1.0</v>
      </c>
      <c r="H465" s="167">
        <v>1.0</v>
      </c>
      <c r="I465" s="168">
        <v>1.0</v>
      </c>
      <c r="J465" s="167">
        <v>1.0</v>
      </c>
      <c r="K465" s="167">
        <v>1.0</v>
      </c>
      <c r="L465" s="167">
        <v>1.0</v>
      </c>
      <c r="M465" s="167">
        <v>1.0</v>
      </c>
      <c r="N465" s="167">
        <v>1.0</v>
      </c>
      <c r="O465" s="169">
        <v>1.0</v>
      </c>
      <c r="P465" s="166">
        <v>1.0</v>
      </c>
      <c r="Q465" s="167">
        <v>1.0</v>
      </c>
      <c r="R465" s="167">
        <v>1.0</v>
      </c>
      <c r="S465" s="167">
        <v>1.0</v>
      </c>
      <c r="T465" s="168">
        <v>1.0</v>
      </c>
      <c r="U465" s="170">
        <f t="shared" si="106"/>
        <v>1</v>
      </c>
      <c r="V465" s="170">
        <f t="shared" si="107"/>
        <v>1</v>
      </c>
    </row>
    <row r="466">
      <c r="A466" s="163">
        <v>4210013.0</v>
      </c>
      <c r="B466" s="164" t="s">
        <v>1115</v>
      </c>
      <c r="C466" s="165">
        <v>7.0</v>
      </c>
      <c r="D466" s="166">
        <v>1.0</v>
      </c>
      <c r="E466" s="167">
        <v>1.0</v>
      </c>
      <c r="F466" s="167">
        <v>1.0</v>
      </c>
      <c r="G466" s="167">
        <v>1.0</v>
      </c>
      <c r="H466" s="167">
        <v>1.0</v>
      </c>
      <c r="I466" s="168">
        <v>1.0</v>
      </c>
      <c r="J466" s="167">
        <v>1.0</v>
      </c>
      <c r="K466" s="167">
        <v>1.0</v>
      </c>
      <c r="L466" s="167">
        <v>1.0</v>
      </c>
      <c r="M466" s="167">
        <v>1.0</v>
      </c>
      <c r="N466" s="167">
        <v>1.0</v>
      </c>
      <c r="O466" s="169">
        <v>1.0</v>
      </c>
      <c r="P466" s="166">
        <v>1.0</v>
      </c>
      <c r="Q466" s="167">
        <v>1.0</v>
      </c>
      <c r="R466" s="167">
        <v>1.0</v>
      </c>
      <c r="S466" s="167">
        <v>1.0</v>
      </c>
      <c r="T466" s="168">
        <v>1.0</v>
      </c>
      <c r="U466" s="170">
        <f t="shared" si="106"/>
        <v>1</v>
      </c>
      <c r="V466" s="170">
        <f t="shared" si="107"/>
        <v>1</v>
      </c>
    </row>
    <row r="467">
      <c r="A467" s="163">
        <v>4210014.0</v>
      </c>
      <c r="B467" s="164" t="s">
        <v>1117</v>
      </c>
      <c r="C467" s="165">
        <v>7.0</v>
      </c>
      <c r="D467" s="166">
        <v>1.0</v>
      </c>
      <c r="E467" s="167">
        <v>1.0</v>
      </c>
      <c r="F467" s="167">
        <v>1.0</v>
      </c>
      <c r="G467" s="167">
        <v>1.0</v>
      </c>
      <c r="H467" s="167">
        <v>1.0</v>
      </c>
      <c r="I467" s="168">
        <v>1.0</v>
      </c>
      <c r="J467" s="167">
        <v>1.0</v>
      </c>
      <c r="K467" s="167">
        <v>1.0</v>
      </c>
      <c r="L467" s="178"/>
      <c r="M467" s="167">
        <v>1.0</v>
      </c>
      <c r="N467" s="178"/>
      <c r="O467" s="169">
        <v>1.0</v>
      </c>
      <c r="P467" s="166">
        <v>1.0</v>
      </c>
      <c r="Q467" s="167">
        <v>1.0</v>
      </c>
      <c r="R467" s="167">
        <v>1.0</v>
      </c>
      <c r="S467" s="167">
        <v>1.0</v>
      </c>
      <c r="T467" s="168">
        <v>1.0</v>
      </c>
      <c r="U467" s="170">
        <f t="shared" si="106"/>
        <v>1</v>
      </c>
      <c r="V467" s="170">
        <f t="shared" si="107"/>
        <v>1</v>
      </c>
    </row>
    <row r="468">
      <c r="A468" s="163">
        <v>4210015.0</v>
      </c>
      <c r="B468" s="164" t="s">
        <v>1119</v>
      </c>
      <c r="C468" s="165">
        <v>7.0</v>
      </c>
      <c r="D468" s="166">
        <v>1.0</v>
      </c>
      <c r="E468" s="167">
        <v>1.0</v>
      </c>
      <c r="F468" s="167">
        <v>1.0</v>
      </c>
      <c r="G468" s="167">
        <v>1.0</v>
      </c>
      <c r="H468" s="167">
        <v>1.0</v>
      </c>
      <c r="I468" s="168">
        <v>1.0</v>
      </c>
      <c r="J468" s="167">
        <v>1.0</v>
      </c>
      <c r="K468" s="167">
        <v>1.0</v>
      </c>
      <c r="L468" s="167">
        <v>1.0</v>
      </c>
      <c r="M468" s="167">
        <v>1.0</v>
      </c>
      <c r="N468" s="167">
        <v>1.0</v>
      </c>
      <c r="O468" s="169">
        <v>1.0</v>
      </c>
      <c r="P468" s="166">
        <v>1.0</v>
      </c>
      <c r="Q468" s="167">
        <v>1.0</v>
      </c>
      <c r="R468" s="167">
        <v>1.0</v>
      </c>
      <c r="S468" s="167">
        <v>1.0</v>
      </c>
      <c r="T468" s="168">
        <v>1.0</v>
      </c>
      <c r="U468" s="170">
        <f t="shared" si="106"/>
        <v>1</v>
      </c>
      <c r="V468" s="170">
        <f t="shared" si="107"/>
        <v>1</v>
      </c>
    </row>
    <row r="469">
      <c r="A469" s="163">
        <v>4210016.0</v>
      </c>
      <c r="B469" s="164" t="s">
        <v>1121</v>
      </c>
      <c r="C469" s="165">
        <v>7.0</v>
      </c>
      <c r="D469" s="166">
        <v>1.0</v>
      </c>
      <c r="E469" s="167">
        <v>1.0</v>
      </c>
      <c r="F469" s="167">
        <v>1.0</v>
      </c>
      <c r="G469" s="167">
        <v>1.0</v>
      </c>
      <c r="H469" s="167">
        <v>1.0</v>
      </c>
      <c r="I469" s="168">
        <v>1.0</v>
      </c>
      <c r="J469" s="178"/>
      <c r="K469" s="178"/>
      <c r="L469" s="167">
        <v>1.0</v>
      </c>
      <c r="M469" s="178"/>
      <c r="N469" s="167">
        <v>1.0</v>
      </c>
      <c r="O469" s="169">
        <v>1.0</v>
      </c>
      <c r="P469" s="166">
        <v>1.0</v>
      </c>
      <c r="Q469" s="167">
        <v>1.0</v>
      </c>
      <c r="R469" s="167">
        <v>1.0</v>
      </c>
      <c r="S469" s="167">
        <v>1.0</v>
      </c>
      <c r="T469" s="168">
        <v>1.0</v>
      </c>
      <c r="U469" s="170">
        <f t="shared" si="106"/>
        <v>1</v>
      </c>
      <c r="V469" s="170">
        <f t="shared" si="107"/>
        <v>1</v>
      </c>
    </row>
    <row r="470">
      <c r="A470" s="163">
        <v>4210017.0</v>
      </c>
      <c r="B470" s="164" t="s">
        <v>1123</v>
      </c>
      <c r="C470" s="165">
        <v>7.0</v>
      </c>
      <c r="D470" s="184"/>
      <c r="E470" s="167">
        <v>1.0</v>
      </c>
      <c r="F470" s="167">
        <v>1.0</v>
      </c>
      <c r="G470" s="167">
        <v>1.0</v>
      </c>
      <c r="H470" s="178"/>
      <c r="I470" s="168">
        <v>1.0</v>
      </c>
      <c r="J470" s="178"/>
      <c r="K470" s="178"/>
      <c r="L470" s="178"/>
      <c r="M470" s="178"/>
      <c r="N470" s="178"/>
      <c r="O470" s="179"/>
      <c r="P470" s="180"/>
      <c r="Q470" s="167">
        <v>1.0</v>
      </c>
      <c r="R470" s="167">
        <v>1.0</v>
      </c>
      <c r="S470" s="167">
        <v>1.0</v>
      </c>
      <c r="T470" s="168">
        <v>1.0</v>
      </c>
      <c r="U470" s="170">
        <f t="shared" si="106"/>
        <v>1</v>
      </c>
      <c r="V470" s="170">
        <f t="shared" si="107"/>
        <v>1</v>
      </c>
    </row>
    <row r="471">
      <c r="A471" s="163">
        <v>4210019.0</v>
      </c>
      <c r="B471" s="164" t="s">
        <v>1127</v>
      </c>
      <c r="C471" s="165">
        <v>7.0</v>
      </c>
      <c r="D471" s="166">
        <v>1.0</v>
      </c>
      <c r="E471" s="167">
        <v>1.0</v>
      </c>
      <c r="F471" s="167">
        <v>1.0</v>
      </c>
      <c r="G471" s="167">
        <v>1.0</v>
      </c>
      <c r="H471" s="167">
        <v>1.0</v>
      </c>
      <c r="I471" s="168">
        <v>1.0</v>
      </c>
      <c r="J471" s="167">
        <v>1.0</v>
      </c>
      <c r="K471" s="167">
        <v>1.0</v>
      </c>
      <c r="L471" s="167">
        <v>1.0</v>
      </c>
      <c r="M471" s="167">
        <v>1.0</v>
      </c>
      <c r="N471" s="167">
        <v>1.0</v>
      </c>
      <c r="O471" s="169">
        <v>1.0</v>
      </c>
      <c r="P471" s="166">
        <v>1.0</v>
      </c>
      <c r="Q471" s="167">
        <v>1.0</v>
      </c>
      <c r="R471" s="167">
        <v>1.0</v>
      </c>
      <c r="S471" s="167">
        <v>1.0</v>
      </c>
      <c r="T471" s="168">
        <v>1.0</v>
      </c>
      <c r="U471" s="170">
        <f t="shared" si="106"/>
        <v>1</v>
      </c>
      <c r="V471" s="170">
        <f t="shared" si="107"/>
        <v>1</v>
      </c>
    </row>
    <row r="472">
      <c r="A472" s="163">
        <v>4210020.0</v>
      </c>
      <c r="B472" s="164" t="s">
        <v>1129</v>
      </c>
      <c r="C472" s="165">
        <v>7.0</v>
      </c>
      <c r="D472" s="166">
        <v>1.0</v>
      </c>
      <c r="E472" s="167">
        <v>1.0</v>
      </c>
      <c r="F472" s="167">
        <v>1.0</v>
      </c>
      <c r="G472" s="167">
        <v>1.0</v>
      </c>
      <c r="H472" s="167">
        <v>1.0</v>
      </c>
      <c r="I472" s="168">
        <v>1.0</v>
      </c>
      <c r="J472" s="167">
        <v>1.0</v>
      </c>
      <c r="K472" s="167">
        <v>1.0</v>
      </c>
      <c r="L472" s="167">
        <v>1.0</v>
      </c>
      <c r="M472" s="167">
        <v>1.0</v>
      </c>
      <c r="N472" s="167">
        <v>1.0</v>
      </c>
      <c r="O472" s="169">
        <v>1.0</v>
      </c>
      <c r="P472" s="166">
        <v>1.0</v>
      </c>
      <c r="Q472" s="167">
        <v>1.0</v>
      </c>
      <c r="R472" s="167">
        <v>1.0</v>
      </c>
      <c r="S472" s="167">
        <v>1.0</v>
      </c>
      <c r="T472" s="168">
        <v>1.0</v>
      </c>
      <c r="U472" s="170">
        <f t="shared" si="106"/>
        <v>1</v>
      </c>
      <c r="V472" s="170">
        <f t="shared" si="107"/>
        <v>1</v>
      </c>
    </row>
    <row r="473">
      <c r="A473" s="163">
        <v>4210021.0</v>
      </c>
      <c r="B473" s="164" t="s">
        <v>1131</v>
      </c>
      <c r="C473" s="165">
        <v>7.0</v>
      </c>
      <c r="D473" s="166">
        <v>1.0</v>
      </c>
      <c r="E473" s="167">
        <v>1.0</v>
      </c>
      <c r="F473" s="167">
        <v>1.0</v>
      </c>
      <c r="G473" s="167">
        <v>1.0</v>
      </c>
      <c r="H473" s="167">
        <v>1.0</v>
      </c>
      <c r="I473" s="168">
        <v>1.0</v>
      </c>
      <c r="J473" s="167">
        <v>1.0</v>
      </c>
      <c r="K473" s="167">
        <v>1.0</v>
      </c>
      <c r="L473" s="167">
        <v>1.0</v>
      </c>
      <c r="M473" s="167">
        <v>1.0</v>
      </c>
      <c r="N473" s="167">
        <v>1.0</v>
      </c>
      <c r="O473" s="169">
        <v>1.0</v>
      </c>
      <c r="P473" s="166">
        <v>1.0</v>
      </c>
      <c r="Q473" s="167">
        <v>1.0</v>
      </c>
      <c r="R473" s="167">
        <v>1.0</v>
      </c>
      <c r="S473" s="167">
        <v>1.0</v>
      </c>
      <c r="T473" s="168">
        <v>1.0</v>
      </c>
      <c r="U473" s="170">
        <f t="shared" si="106"/>
        <v>1</v>
      </c>
      <c r="V473" s="170">
        <f t="shared" si="107"/>
        <v>1</v>
      </c>
    </row>
    <row r="474">
      <c r="A474" s="163">
        <v>4210022.0</v>
      </c>
      <c r="B474" s="164" t="s">
        <v>1134</v>
      </c>
      <c r="C474" s="165">
        <v>7.0</v>
      </c>
      <c r="D474" s="166">
        <v>1.0</v>
      </c>
      <c r="E474" s="167">
        <v>1.0</v>
      </c>
      <c r="F474" s="167">
        <v>1.0</v>
      </c>
      <c r="G474" s="167">
        <v>1.0</v>
      </c>
      <c r="H474" s="167">
        <v>1.0</v>
      </c>
      <c r="I474" s="168">
        <v>1.0</v>
      </c>
      <c r="J474" s="167">
        <v>1.0</v>
      </c>
      <c r="K474" s="167">
        <v>1.0</v>
      </c>
      <c r="L474" s="167">
        <v>1.0</v>
      </c>
      <c r="M474" s="167">
        <v>1.0</v>
      </c>
      <c r="N474" s="167">
        <v>1.0</v>
      </c>
      <c r="O474" s="169">
        <v>1.0</v>
      </c>
      <c r="P474" s="166">
        <v>1.0</v>
      </c>
      <c r="Q474" s="167">
        <v>1.0</v>
      </c>
      <c r="R474" s="167">
        <v>1.0</v>
      </c>
      <c r="S474" s="167">
        <v>1.0</v>
      </c>
      <c r="T474" s="168">
        <v>1.0</v>
      </c>
      <c r="U474" s="170">
        <f t="shared" si="106"/>
        <v>1</v>
      </c>
      <c r="V474" s="170">
        <f t="shared" si="107"/>
        <v>1</v>
      </c>
    </row>
    <row r="475">
      <c r="A475" s="163">
        <v>4210023.0</v>
      </c>
      <c r="B475" s="164" t="s">
        <v>1137</v>
      </c>
      <c r="C475" s="165">
        <v>7.0</v>
      </c>
      <c r="D475" s="166">
        <v>1.0</v>
      </c>
      <c r="E475" s="167">
        <v>1.0</v>
      </c>
      <c r="F475" s="167">
        <v>1.0</v>
      </c>
      <c r="G475" s="167">
        <v>1.0</v>
      </c>
      <c r="H475" s="167">
        <v>1.0</v>
      </c>
      <c r="I475" s="168">
        <v>1.0</v>
      </c>
      <c r="J475" s="167">
        <v>1.0</v>
      </c>
      <c r="K475" s="167">
        <v>1.0</v>
      </c>
      <c r="L475" s="167">
        <v>1.0</v>
      </c>
      <c r="M475" s="167">
        <v>1.0</v>
      </c>
      <c r="N475" s="167">
        <v>1.0</v>
      </c>
      <c r="O475" s="169">
        <v>1.0</v>
      </c>
      <c r="P475" s="166">
        <v>1.0</v>
      </c>
      <c r="Q475" s="167">
        <v>1.0</v>
      </c>
      <c r="R475" s="167">
        <v>1.0</v>
      </c>
      <c r="S475" s="167">
        <v>1.0</v>
      </c>
      <c r="T475" s="168">
        <v>1.0</v>
      </c>
      <c r="U475" s="170">
        <f t="shared" si="106"/>
        <v>1</v>
      </c>
      <c r="V475" s="170">
        <f t="shared" si="107"/>
        <v>1</v>
      </c>
    </row>
    <row r="476">
      <c r="A476" s="163">
        <v>4210024.0</v>
      </c>
      <c r="B476" s="164" t="s">
        <v>1139</v>
      </c>
      <c r="C476" s="165">
        <v>7.0</v>
      </c>
      <c r="D476" s="166">
        <v>1.0</v>
      </c>
      <c r="E476" s="167">
        <v>1.0</v>
      </c>
      <c r="F476" s="167">
        <v>1.0</v>
      </c>
      <c r="G476" s="167">
        <v>1.0</v>
      </c>
      <c r="H476" s="167">
        <v>1.0</v>
      </c>
      <c r="I476" s="168">
        <v>1.0</v>
      </c>
      <c r="J476" s="167">
        <v>1.0</v>
      </c>
      <c r="K476" s="167">
        <v>1.0</v>
      </c>
      <c r="L476" s="167">
        <v>1.0</v>
      </c>
      <c r="M476" s="167">
        <v>1.0</v>
      </c>
      <c r="N476" s="167">
        <v>1.0</v>
      </c>
      <c r="O476" s="169">
        <v>1.0</v>
      </c>
      <c r="P476" s="166">
        <v>1.0</v>
      </c>
      <c r="Q476" s="167">
        <v>1.0</v>
      </c>
      <c r="R476" s="167">
        <v>1.0</v>
      </c>
      <c r="S476" s="167">
        <v>1.0</v>
      </c>
      <c r="T476" s="168">
        <v>1.0</v>
      </c>
      <c r="U476" s="170">
        <f t="shared" si="106"/>
        <v>1</v>
      </c>
      <c r="V476" s="170">
        <f t="shared" si="107"/>
        <v>1</v>
      </c>
    </row>
    <row r="477">
      <c r="A477" s="163">
        <v>4210027.0</v>
      </c>
      <c r="B477" s="164" t="s">
        <v>1146</v>
      </c>
      <c r="C477" s="165">
        <v>7.0</v>
      </c>
      <c r="D477" s="166">
        <v>1.0</v>
      </c>
      <c r="E477" s="167">
        <v>1.0</v>
      </c>
      <c r="F477" s="167">
        <v>1.0</v>
      </c>
      <c r="G477" s="167">
        <v>1.0</v>
      </c>
      <c r="H477" s="167">
        <v>1.0</v>
      </c>
      <c r="I477" s="168">
        <v>1.0</v>
      </c>
      <c r="J477" s="167">
        <v>1.0</v>
      </c>
      <c r="K477" s="167">
        <v>1.0</v>
      </c>
      <c r="L477" s="167">
        <v>1.0</v>
      </c>
      <c r="M477" s="167">
        <v>1.0</v>
      </c>
      <c r="N477" s="167">
        <v>1.0</v>
      </c>
      <c r="O477" s="169">
        <v>1.0</v>
      </c>
      <c r="P477" s="166">
        <v>1.0</v>
      </c>
      <c r="Q477" s="167">
        <v>1.0</v>
      </c>
      <c r="R477" s="167">
        <v>1.0</v>
      </c>
      <c r="S477" s="167">
        <v>1.0</v>
      </c>
      <c r="T477" s="168">
        <v>1.0</v>
      </c>
      <c r="U477" s="170">
        <f t="shared" si="106"/>
        <v>1</v>
      </c>
      <c r="V477" s="170">
        <f t="shared" si="107"/>
        <v>1</v>
      </c>
    </row>
    <row r="478">
      <c r="A478" s="163">
        <v>4210028.0</v>
      </c>
      <c r="B478" s="164" t="s">
        <v>1149</v>
      </c>
      <c r="C478" s="165">
        <v>7.0</v>
      </c>
      <c r="D478" s="166">
        <v>1.0</v>
      </c>
      <c r="E478" s="167">
        <v>1.0</v>
      </c>
      <c r="F478" s="167">
        <v>1.0</v>
      </c>
      <c r="G478" s="167">
        <v>1.0</v>
      </c>
      <c r="H478" s="167">
        <v>1.0</v>
      </c>
      <c r="I478" s="168">
        <v>1.0</v>
      </c>
      <c r="J478" s="178"/>
      <c r="K478" s="167">
        <v>1.0</v>
      </c>
      <c r="L478" s="167">
        <v>1.0</v>
      </c>
      <c r="M478" s="167">
        <v>1.0</v>
      </c>
      <c r="N478" s="167">
        <v>1.0</v>
      </c>
      <c r="O478" s="169">
        <v>1.0</v>
      </c>
      <c r="P478" s="166">
        <v>1.0</v>
      </c>
      <c r="Q478" s="167">
        <v>1.0</v>
      </c>
      <c r="R478" s="167">
        <v>1.0</v>
      </c>
      <c r="S478" s="167">
        <v>1.0</v>
      </c>
      <c r="T478" s="168">
        <v>1.0</v>
      </c>
      <c r="U478" s="170">
        <f t="shared" si="106"/>
        <v>1</v>
      </c>
      <c r="V478" s="170">
        <f t="shared" si="107"/>
        <v>1</v>
      </c>
    </row>
    <row r="479">
      <c r="A479" s="163">
        <v>4210029.0</v>
      </c>
      <c r="B479" s="164" t="s">
        <v>1151</v>
      </c>
      <c r="C479" s="165">
        <v>7.0</v>
      </c>
      <c r="D479" s="166">
        <v>1.0</v>
      </c>
      <c r="E479" s="167">
        <v>1.0</v>
      </c>
      <c r="F479" s="167">
        <v>1.0</v>
      </c>
      <c r="G479" s="167">
        <v>1.0</v>
      </c>
      <c r="H479" s="167">
        <v>1.0</v>
      </c>
      <c r="I479" s="168">
        <v>1.0</v>
      </c>
      <c r="J479" s="178"/>
      <c r="K479" s="178"/>
      <c r="L479" s="167">
        <v>1.0</v>
      </c>
      <c r="M479" s="167">
        <v>1.0</v>
      </c>
      <c r="N479" s="178"/>
      <c r="O479" s="169">
        <v>1.0</v>
      </c>
      <c r="P479" s="166">
        <v>1.0</v>
      </c>
      <c r="Q479" s="167">
        <v>1.0</v>
      </c>
      <c r="R479" s="167">
        <v>1.0</v>
      </c>
      <c r="S479" s="167">
        <v>1.0</v>
      </c>
      <c r="T479" s="168">
        <v>1.0</v>
      </c>
      <c r="U479" s="170">
        <f t="shared" si="106"/>
        <v>1</v>
      </c>
      <c r="V479" s="170">
        <f t="shared" si="107"/>
        <v>1</v>
      </c>
    </row>
    <row r="480">
      <c r="A480" s="163">
        <v>4210030.0</v>
      </c>
      <c r="B480" s="164" t="s">
        <v>1153</v>
      </c>
      <c r="C480" s="165">
        <v>7.0</v>
      </c>
      <c r="D480" s="166">
        <v>1.0</v>
      </c>
      <c r="E480" s="167">
        <v>1.0</v>
      </c>
      <c r="F480" s="167">
        <v>1.0</v>
      </c>
      <c r="G480" s="167">
        <v>1.0</v>
      </c>
      <c r="H480" s="167">
        <v>1.0</v>
      </c>
      <c r="I480" s="168">
        <v>1.0</v>
      </c>
      <c r="J480" s="178"/>
      <c r="K480" s="167">
        <v>1.0</v>
      </c>
      <c r="L480" s="167">
        <v>1.0</v>
      </c>
      <c r="M480" s="167">
        <v>1.0</v>
      </c>
      <c r="N480" s="167">
        <v>1.0</v>
      </c>
      <c r="O480" s="169">
        <v>1.0</v>
      </c>
      <c r="P480" s="166">
        <v>1.0</v>
      </c>
      <c r="Q480" s="167">
        <v>1.0</v>
      </c>
      <c r="R480" s="167">
        <v>1.0</v>
      </c>
      <c r="S480" s="167">
        <v>1.0</v>
      </c>
      <c r="T480" s="168">
        <v>1.0</v>
      </c>
      <c r="U480" s="170">
        <f t="shared" si="106"/>
        <v>1</v>
      </c>
      <c r="V480" s="170">
        <f t="shared" si="107"/>
        <v>1</v>
      </c>
    </row>
    <row r="481">
      <c r="A481" s="163">
        <v>4210031.0</v>
      </c>
      <c r="B481" s="164" t="s">
        <v>1155</v>
      </c>
      <c r="C481" s="165">
        <v>7.0</v>
      </c>
      <c r="D481" s="166">
        <v>1.0</v>
      </c>
      <c r="E481" s="178"/>
      <c r="F481" s="178"/>
      <c r="G481" s="167">
        <v>1.0</v>
      </c>
      <c r="H481" s="167">
        <v>1.0</v>
      </c>
      <c r="I481" s="168">
        <v>1.0</v>
      </c>
      <c r="J481" s="178"/>
      <c r="K481" s="178"/>
      <c r="L481" s="178"/>
      <c r="M481" s="178"/>
      <c r="N481" s="178"/>
      <c r="O481" s="179"/>
      <c r="P481" s="180"/>
      <c r="Q481" s="167">
        <v>1.0</v>
      </c>
      <c r="R481" s="178"/>
      <c r="S481" s="167">
        <v>1.0</v>
      </c>
      <c r="T481" s="168">
        <v>1.0</v>
      </c>
      <c r="U481" s="170">
        <f t="shared" si="106"/>
        <v>1</v>
      </c>
      <c r="V481" s="170">
        <f t="shared" si="107"/>
        <v>1</v>
      </c>
    </row>
    <row r="482">
      <c r="A482" s="163">
        <v>4210032.0</v>
      </c>
      <c r="B482" s="164" t="s">
        <v>1157</v>
      </c>
      <c r="C482" s="165">
        <v>7.0</v>
      </c>
      <c r="D482" s="166">
        <v>1.0</v>
      </c>
      <c r="E482" s="167">
        <v>1.0</v>
      </c>
      <c r="F482" s="167">
        <v>1.0</v>
      </c>
      <c r="G482" s="167">
        <v>1.0</v>
      </c>
      <c r="H482" s="167">
        <v>1.0</v>
      </c>
      <c r="I482" s="168">
        <v>1.0</v>
      </c>
      <c r="J482" s="178"/>
      <c r="K482" s="167">
        <v>1.0</v>
      </c>
      <c r="L482" s="167">
        <v>1.0</v>
      </c>
      <c r="M482" s="167">
        <v>1.0</v>
      </c>
      <c r="N482" s="178"/>
      <c r="O482" s="169">
        <v>1.0</v>
      </c>
      <c r="P482" s="166">
        <v>1.0</v>
      </c>
      <c r="Q482" s="167">
        <v>1.0</v>
      </c>
      <c r="R482" s="167">
        <v>1.0</v>
      </c>
      <c r="S482" s="167">
        <v>1.0</v>
      </c>
      <c r="T482" s="168">
        <v>1.0</v>
      </c>
      <c r="U482" s="170">
        <f t="shared" si="106"/>
        <v>1</v>
      </c>
      <c r="V482" s="170">
        <f t="shared" si="107"/>
        <v>1</v>
      </c>
    </row>
    <row r="483">
      <c r="A483" s="149">
        <v>4220000.0</v>
      </c>
      <c r="B483" s="150" t="s">
        <v>1851</v>
      </c>
      <c r="C483" s="151">
        <v>3.0</v>
      </c>
      <c r="D483" s="152"/>
      <c r="E483" s="153"/>
      <c r="F483" s="153"/>
      <c r="G483" s="153"/>
      <c r="H483" s="153"/>
      <c r="I483" s="154"/>
      <c r="J483" s="153"/>
      <c r="K483" s="153"/>
      <c r="L483" s="153"/>
      <c r="M483" s="153"/>
      <c r="N483" s="153"/>
      <c r="O483" s="155"/>
      <c r="P483" s="152"/>
      <c r="Q483" s="153"/>
      <c r="R483" s="153"/>
      <c r="S483" s="153"/>
      <c r="T483" s="154"/>
    </row>
    <row r="484">
      <c r="A484" s="156">
        <v>4221000.0</v>
      </c>
      <c r="B484" s="157" t="s">
        <v>1852</v>
      </c>
      <c r="C484" s="158">
        <v>4.0</v>
      </c>
      <c r="D484" s="220"/>
      <c r="E484" s="160"/>
      <c r="F484" s="160"/>
      <c r="G484" s="160"/>
      <c r="H484" s="160"/>
      <c r="I484" s="161"/>
      <c r="J484" s="160"/>
      <c r="K484" s="160"/>
      <c r="L484" s="160"/>
      <c r="M484" s="160"/>
      <c r="N484" s="160"/>
      <c r="O484" s="162"/>
      <c r="P484" s="159"/>
      <c r="Q484" s="160"/>
      <c r="R484" s="160"/>
      <c r="S484" s="160"/>
      <c r="T484" s="161"/>
    </row>
    <row r="485">
      <c r="A485" s="163">
        <v>4221001.0</v>
      </c>
      <c r="B485" s="164" t="s">
        <v>1159</v>
      </c>
      <c r="C485" s="165">
        <v>7.0</v>
      </c>
      <c r="D485" s="166">
        <v>1.0</v>
      </c>
      <c r="E485" s="167">
        <v>1.0</v>
      </c>
      <c r="F485" s="167">
        <v>1.0</v>
      </c>
      <c r="G485" s="167">
        <v>1.0</v>
      </c>
      <c r="H485" s="167">
        <v>1.0</v>
      </c>
      <c r="I485" s="168">
        <v>1.0</v>
      </c>
      <c r="J485" s="167">
        <v>1.0</v>
      </c>
      <c r="K485" s="167">
        <v>1.0</v>
      </c>
      <c r="L485" s="167">
        <v>1.0</v>
      </c>
      <c r="M485" s="167">
        <v>1.0</v>
      </c>
      <c r="N485" s="167">
        <v>1.0</v>
      </c>
      <c r="O485" s="169">
        <v>1.0</v>
      </c>
      <c r="P485" s="166">
        <v>1.0</v>
      </c>
      <c r="Q485" s="167">
        <v>1.0</v>
      </c>
      <c r="R485" s="167">
        <v>1.0</v>
      </c>
      <c r="S485" s="167">
        <v>1.0</v>
      </c>
      <c r="T485" s="168">
        <v>1.0</v>
      </c>
      <c r="U485" s="170">
        <f t="shared" ref="U485:U490" si="108">if(I485+O485&gt;0,1,"")</f>
        <v>1</v>
      </c>
      <c r="V485" s="170">
        <f t="shared" ref="V485:V490" si="109">if(T485&gt;0,1,"")</f>
        <v>1</v>
      </c>
    </row>
    <row r="486">
      <c r="A486" s="163">
        <v>4221002.0</v>
      </c>
      <c r="B486" s="164" t="s">
        <v>1161</v>
      </c>
      <c r="C486" s="165">
        <v>7.0</v>
      </c>
      <c r="D486" s="166">
        <v>1.0</v>
      </c>
      <c r="E486" s="167">
        <v>1.0</v>
      </c>
      <c r="F486" s="167">
        <v>1.0</v>
      </c>
      <c r="G486" s="167">
        <v>1.0</v>
      </c>
      <c r="H486" s="167">
        <v>1.0</v>
      </c>
      <c r="I486" s="168">
        <v>1.0</v>
      </c>
      <c r="J486" s="167">
        <v>1.0</v>
      </c>
      <c r="K486" s="167">
        <v>1.0</v>
      </c>
      <c r="L486" s="167">
        <v>1.0</v>
      </c>
      <c r="M486" s="167">
        <v>1.0</v>
      </c>
      <c r="N486" s="167">
        <v>1.0</v>
      </c>
      <c r="O486" s="169">
        <v>1.0</v>
      </c>
      <c r="P486" s="166">
        <v>1.0</v>
      </c>
      <c r="Q486" s="167">
        <v>1.0</v>
      </c>
      <c r="R486" s="167">
        <v>1.0</v>
      </c>
      <c r="S486" s="167">
        <v>1.0</v>
      </c>
      <c r="T486" s="168">
        <v>1.0</v>
      </c>
      <c r="U486" s="170">
        <f t="shared" si="108"/>
        <v>1</v>
      </c>
      <c r="V486" s="170">
        <f t="shared" si="109"/>
        <v>1</v>
      </c>
    </row>
    <row r="487">
      <c r="A487" s="163">
        <v>4221003.0</v>
      </c>
      <c r="B487" s="164" t="s">
        <v>1163</v>
      </c>
      <c r="C487" s="165">
        <v>7.0</v>
      </c>
      <c r="D487" s="166">
        <v>1.0</v>
      </c>
      <c r="E487" s="167">
        <v>1.0</v>
      </c>
      <c r="F487" s="167">
        <v>1.0</v>
      </c>
      <c r="G487" s="167">
        <v>1.0</v>
      </c>
      <c r="H487" s="167">
        <v>1.0</v>
      </c>
      <c r="I487" s="168">
        <v>1.0</v>
      </c>
      <c r="J487" s="167">
        <v>1.0</v>
      </c>
      <c r="K487" s="167">
        <v>1.0</v>
      </c>
      <c r="L487" s="167">
        <v>1.0</v>
      </c>
      <c r="M487" s="167">
        <v>1.0</v>
      </c>
      <c r="N487" s="167">
        <v>1.0</v>
      </c>
      <c r="O487" s="169">
        <v>1.0</v>
      </c>
      <c r="P487" s="166">
        <v>1.0</v>
      </c>
      <c r="Q487" s="167">
        <v>1.0</v>
      </c>
      <c r="R487" s="167">
        <v>1.0</v>
      </c>
      <c r="S487" s="167">
        <v>1.0</v>
      </c>
      <c r="T487" s="168">
        <v>1.0</v>
      </c>
      <c r="U487" s="170">
        <f t="shared" si="108"/>
        <v>1</v>
      </c>
      <c r="V487" s="170">
        <f t="shared" si="109"/>
        <v>1</v>
      </c>
    </row>
    <row r="488">
      <c r="A488" s="163">
        <v>4221004.0</v>
      </c>
      <c r="B488" s="164" t="s">
        <v>1173</v>
      </c>
      <c r="C488" s="165">
        <v>7.0</v>
      </c>
      <c r="D488" s="166">
        <v>1.0</v>
      </c>
      <c r="E488" s="167">
        <v>1.0</v>
      </c>
      <c r="F488" s="167">
        <v>1.0</v>
      </c>
      <c r="G488" s="167">
        <v>1.0</v>
      </c>
      <c r="H488" s="167">
        <v>1.0</v>
      </c>
      <c r="I488" s="168">
        <v>1.0</v>
      </c>
      <c r="J488" s="178"/>
      <c r="K488" s="167">
        <v>1.0</v>
      </c>
      <c r="L488" s="167">
        <v>1.0</v>
      </c>
      <c r="M488" s="167">
        <v>1.0</v>
      </c>
      <c r="N488" s="167">
        <v>1.0</v>
      </c>
      <c r="O488" s="169">
        <v>1.0</v>
      </c>
      <c r="P488" s="166">
        <v>1.0</v>
      </c>
      <c r="Q488" s="167">
        <v>1.0</v>
      </c>
      <c r="R488" s="167">
        <v>1.0</v>
      </c>
      <c r="S488" s="167">
        <v>1.0</v>
      </c>
      <c r="T488" s="168">
        <v>1.0</v>
      </c>
      <c r="U488" s="170">
        <f t="shared" si="108"/>
        <v>1</v>
      </c>
      <c r="V488" s="170">
        <f t="shared" si="109"/>
        <v>1</v>
      </c>
    </row>
    <row r="489">
      <c r="A489" s="163">
        <v>4221005.0</v>
      </c>
      <c r="B489" s="164" t="s">
        <v>1175</v>
      </c>
      <c r="C489" s="165">
        <v>7.0</v>
      </c>
      <c r="D489" s="166">
        <v>1.0</v>
      </c>
      <c r="E489" s="167">
        <v>1.0</v>
      </c>
      <c r="F489" s="167">
        <v>1.0</v>
      </c>
      <c r="G489" s="167">
        <v>1.0</v>
      </c>
      <c r="H489" s="167">
        <v>1.0</v>
      </c>
      <c r="I489" s="168">
        <v>1.0</v>
      </c>
      <c r="J489" s="178"/>
      <c r="K489" s="178"/>
      <c r="L489" s="178"/>
      <c r="M489" s="178"/>
      <c r="N489" s="178"/>
      <c r="O489" s="179"/>
      <c r="P489" s="166">
        <v>1.0</v>
      </c>
      <c r="Q489" s="167">
        <v>1.0</v>
      </c>
      <c r="R489" s="178"/>
      <c r="S489" s="167">
        <v>1.0</v>
      </c>
      <c r="T489" s="168">
        <v>1.0</v>
      </c>
      <c r="U489" s="170">
        <f t="shared" si="108"/>
        <v>1</v>
      </c>
      <c r="V489" s="170">
        <f t="shared" si="109"/>
        <v>1</v>
      </c>
    </row>
    <row r="490">
      <c r="A490" s="163">
        <v>4221006.0</v>
      </c>
      <c r="B490" s="164" t="s">
        <v>1178</v>
      </c>
      <c r="C490" s="165">
        <v>7.0</v>
      </c>
      <c r="D490" s="166">
        <v>1.0</v>
      </c>
      <c r="E490" s="167">
        <v>1.0</v>
      </c>
      <c r="F490" s="167">
        <v>1.0</v>
      </c>
      <c r="G490" s="167">
        <v>1.0</v>
      </c>
      <c r="H490" s="167">
        <v>1.0</v>
      </c>
      <c r="I490" s="168">
        <v>1.0</v>
      </c>
      <c r="J490" s="178"/>
      <c r="K490" s="178"/>
      <c r="L490" s="178"/>
      <c r="M490" s="178"/>
      <c r="N490" s="178"/>
      <c r="O490" s="179"/>
      <c r="P490" s="166">
        <v>1.0</v>
      </c>
      <c r="Q490" s="167">
        <v>1.0</v>
      </c>
      <c r="R490" s="167">
        <v>1.0</v>
      </c>
      <c r="S490" s="167">
        <v>1.0</v>
      </c>
      <c r="T490" s="168">
        <v>1.0</v>
      </c>
      <c r="U490" s="170">
        <f t="shared" si="108"/>
        <v>1</v>
      </c>
      <c r="V490" s="170">
        <f t="shared" si="109"/>
        <v>1</v>
      </c>
    </row>
    <row r="491">
      <c r="A491" s="156">
        <v>4222000.0</v>
      </c>
      <c r="B491" s="157" t="s">
        <v>1853</v>
      </c>
      <c r="C491" s="158">
        <v>4.0</v>
      </c>
      <c r="D491" s="220"/>
      <c r="E491" s="160"/>
      <c r="F491" s="160"/>
      <c r="G491" s="160"/>
      <c r="H491" s="160"/>
      <c r="I491" s="161"/>
      <c r="J491" s="160"/>
      <c r="K491" s="160"/>
      <c r="L491" s="160"/>
      <c r="M491" s="160"/>
      <c r="N491" s="160"/>
      <c r="O491" s="162"/>
      <c r="P491" s="159"/>
      <c r="Q491" s="160"/>
      <c r="R491" s="160"/>
      <c r="S491" s="160"/>
      <c r="T491" s="161"/>
    </row>
    <row r="492">
      <c r="A492" s="163">
        <v>4222002.0</v>
      </c>
      <c r="B492" s="164" t="s">
        <v>1064</v>
      </c>
      <c r="C492" s="165">
        <v>7.0</v>
      </c>
      <c r="D492" s="166">
        <v>1.0</v>
      </c>
      <c r="E492" s="167">
        <v>1.0</v>
      </c>
      <c r="F492" s="167">
        <v>1.0</v>
      </c>
      <c r="G492" s="178"/>
      <c r="H492" s="167">
        <v>1.0</v>
      </c>
      <c r="I492" s="168">
        <v>1.0</v>
      </c>
      <c r="J492" s="178"/>
      <c r="K492" s="178"/>
      <c r="L492" s="178"/>
      <c r="M492" s="178"/>
      <c r="N492" s="178"/>
      <c r="O492" s="179"/>
      <c r="P492" s="180"/>
      <c r="Q492" s="178"/>
      <c r="R492" s="178"/>
      <c r="S492" s="178"/>
      <c r="T492" s="181"/>
      <c r="U492" s="170">
        <f>if(I492+O492&gt;0,1,"")</f>
        <v>1</v>
      </c>
      <c r="V492" s="170" t="str">
        <f>if(T492&gt;0,1,"")</f>
        <v/>
      </c>
    </row>
    <row r="493">
      <c r="A493" s="142">
        <v>4300000.0</v>
      </c>
      <c r="B493" s="143" t="s">
        <v>1854</v>
      </c>
      <c r="C493" s="144">
        <v>2.0</v>
      </c>
      <c r="D493" s="219"/>
      <c r="E493" s="146"/>
      <c r="F493" s="146"/>
      <c r="G493" s="146"/>
      <c r="H493" s="146"/>
      <c r="I493" s="147"/>
      <c r="J493" s="146"/>
      <c r="K493" s="146"/>
      <c r="L493" s="146"/>
      <c r="M493" s="146"/>
      <c r="N493" s="146"/>
      <c r="O493" s="148"/>
      <c r="P493" s="145"/>
      <c r="Q493" s="146"/>
      <c r="R493" s="146"/>
      <c r="S493" s="146"/>
      <c r="T493" s="147"/>
    </row>
    <row r="494">
      <c r="A494" s="163">
        <v>4300002.0</v>
      </c>
      <c r="B494" s="164" t="s">
        <v>1186</v>
      </c>
      <c r="C494" s="165">
        <v>7.0</v>
      </c>
      <c r="D494" s="166">
        <v>1.0</v>
      </c>
      <c r="E494" s="167">
        <v>1.0</v>
      </c>
      <c r="F494" s="167">
        <v>1.0</v>
      </c>
      <c r="G494" s="167">
        <v>1.0</v>
      </c>
      <c r="H494" s="167">
        <v>1.0</v>
      </c>
      <c r="I494" s="168">
        <v>1.0</v>
      </c>
      <c r="J494" s="167">
        <v>1.0</v>
      </c>
      <c r="K494" s="167">
        <v>1.0</v>
      </c>
      <c r="L494" s="167">
        <v>1.0</v>
      </c>
      <c r="M494" s="167">
        <v>1.0</v>
      </c>
      <c r="N494" s="167">
        <v>1.0</v>
      </c>
      <c r="O494" s="169">
        <v>1.0</v>
      </c>
      <c r="P494" s="166">
        <v>1.0</v>
      </c>
      <c r="Q494" s="167">
        <v>1.0</v>
      </c>
      <c r="R494" s="167">
        <v>1.0</v>
      </c>
      <c r="S494" s="167">
        <v>1.0</v>
      </c>
      <c r="T494" s="168">
        <v>1.0</v>
      </c>
      <c r="U494" s="170">
        <f t="shared" ref="U494:U495" si="110">if(I494+O494&gt;0,1,"")</f>
        <v>1</v>
      </c>
      <c r="V494" s="170">
        <f t="shared" ref="V494:V495" si="111">if(T494&gt;0,1,"")</f>
        <v>1</v>
      </c>
    </row>
    <row r="495">
      <c r="A495" s="163">
        <v>4300003.0</v>
      </c>
      <c r="B495" s="164" t="s">
        <v>1188</v>
      </c>
      <c r="C495" s="165">
        <v>7.0</v>
      </c>
      <c r="D495" s="166">
        <v>1.0</v>
      </c>
      <c r="E495" s="167">
        <v>1.0</v>
      </c>
      <c r="F495" s="167">
        <v>1.0</v>
      </c>
      <c r="G495" s="167">
        <v>1.0</v>
      </c>
      <c r="H495" s="167">
        <v>1.0</v>
      </c>
      <c r="I495" s="168">
        <v>1.0</v>
      </c>
      <c r="J495" s="178"/>
      <c r="K495" s="167">
        <v>1.0</v>
      </c>
      <c r="L495" s="167">
        <v>1.0</v>
      </c>
      <c r="M495" s="167">
        <v>1.0</v>
      </c>
      <c r="N495" s="167">
        <v>1.0</v>
      </c>
      <c r="O495" s="169">
        <v>1.0</v>
      </c>
      <c r="P495" s="166">
        <v>1.0</v>
      </c>
      <c r="Q495" s="167">
        <v>1.0</v>
      </c>
      <c r="R495" s="167">
        <v>1.0</v>
      </c>
      <c r="S495" s="167">
        <v>1.0</v>
      </c>
      <c r="T495" s="168">
        <v>1.0</v>
      </c>
      <c r="U495" s="170">
        <f t="shared" si="110"/>
        <v>1</v>
      </c>
      <c r="V495" s="170">
        <f t="shared" si="111"/>
        <v>1</v>
      </c>
    </row>
    <row r="496">
      <c r="A496" s="136">
        <v>5000000.0</v>
      </c>
      <c r="B496" s="137" t="s">
        <v>1855</v>
      </c>
      <c r="C496" s="131">
        <v>1.0</v>
      </c>
      <c r="D496" s="138"/>
      <c r="E496" s="139"/>
      <c r="F496" s="139"/>
      <c r="G496" s="139"/>
      <c r="H496" s="139"/>
      <c r="I496" s="140"/>
      <c r="J496" s="139"/>
      <c r="K496" s="139"/>
      <c r="L496" s="139"/>
      <c r="M496" s="139"/>
      <c r="N496" s="139"/>
      <c r="O496" s="141"/>
      <c r="P496" s="138"/>
      <c r="Q496" s="139"/>
      <c r="R496" s="139"/>
      <c r="S496" s="139"/>
      <c r="T496" s="140"/>
    </row>
    <row r="497">
      <c r="A497" s="142">
        <v>5100000.0</v>
      </c>
      <c r="B497" s="143" t="s">
        <v>1856</v>
      </c>
      <c r="C497" s="144">
        <v>2.0</v>
      </c>
      <c r="D497" s="145"/>
      <c r="E497" s="146"/>
      <c r="F497" s="146"/>
      <c r="G497" s="146"/>
      <c r="H497" s="146"/>
      <c r="I497" s="147"/>
      <c r="J497" s="146"/>
      <c r="K497" s="146"/>
      <c r="L497" s="146"/>
      <c r="M497" s="146"/>
      <c r="N497" s="146"/>
      <c r="O497" s="148"/>
      <c r="P497" s="145"/>
      <c r="Q497" s="146"/>
      <c r="R497" s="146"/>
      <c r="S497" s="146"/>
      <c r="T497" s="147"/>
    </row>
    <row r="498">
      <c r="A498" s="149">
        <v>5110000.0</v>
      </c>
      <c r="B498" s="150" t="s">
        <v>1857</v>
      </c>
      <c r="C498" s="151">
        <v>3.0</v>
      </c>
      <c r="D498" s="218"/>
      <c r="E498" s="153"/>
      <c r="F498" s="153"/>
      <c r="G498" s="153"/>
      <c r="H498" s="153"/>
      <c r="I498" s="154"/>
      <c r="J498" s="153"/>
      <c r="K498" s="153"/>
      <c r="L498" s="153"/>
      <c r="M498" s="153"/>
      <c r="N498" s="153"/>
      <c r="O498" s="155"/>
      <c r="P498" s="152"/>
      <c r="Q498" s="153"/>
      <c r="R498" s="153"/>
      <c r="S498" s="153"/>
      <c r="T498" s="154"/>
    </row>
    <row r="499">
      <c r="A499" s="163">
        <v>5110001.0</v>
      </c>
      <c r="B499" s="164" t="s">
        <v>1190</v>
      </c>
      <c r="C499" s="165">
        <v>7.0</v>
      </c>
      <c r="D499" s="166">
        <v>1.0</v>
      </c>
      <c r="E499" s="178"/>
      <c r="F499" s="178"/>
      <c r="G499" s="178"/>
      <c r="H499" s="178"/>
      <c r="I499" s="168">
        <v>1.0</v>
      </c>
      <c r="J499" s="167">
        <v>1.0</v>
      </c>
      <c r="K499" s="178"/>
      <c r="L499" s="178"/>
      <c r="M499" s="178"/>
      <c r="N499" s="178"/>
      <c r="O499" s="169">
        <v>1.0</v>
      </c>
      <c r="P499" s="180"/>
      <c r="Q499" s="178"/>
      <c r="R499" s="178"/>
      <c r="S499" s="178"/>
      <c r="T499" s="181"/>
      <c r="U499" s="170">
        <f t="shared" ref="U499:U508" si="112">if(I499+O499&gt;0,1,"")</f>
        <v>1</v>
      </c>
      <c r="V499" s="170" t="str">
        <f t="shared" ref="V499:V508" si="113">if(T499&gt;0,1,"")</f>
        <v/>
      </c>
    </row>
    <row r="500">
      <c r="A500" s="163">
        <v>5110002.0</v>
      </c>
      <c r="B500" s="164" t="s">
        <v>1193</v>
      </c>
      <c r="C500" s="165">
        <v>7.0</v>
      </c>
      <c r="D500" s="166">
        <v>1.0</v>
      </c>
      <c r="E500" s="167">
        <v>1.0</v>
      </c>
      <c r="F500" s="167">
        <v>1.0</v>
      </c>
      <c r="G500" s="167">
        <v>1.0</v>
      </c>
      <c r="H500" s="167">
        <v>1.0</v>
      </c>
      <c r="I500" s="168">
        <v>1.0</v>
      </c>
      <c r="J500" s="167">
        <v>1.0</v>
      </c>
      <c r="K500" s="167">
        <v>1.0</v>
      </c>
      <c r="L500" s="167">
        <v>1.0</v>
      </c>
      <c r="M500" s="167">
        <v>1.0</v>
      </c>
      <c r="N500" s="167">
        <v>1.0</v>
      </c>
      <c r="O500" s="169">
        <v>1.0</v>
      </c>
      <c r="P500" s="166">
        <v>1.0</v>
      </c>
      <c r="Q500" s="167">
        <v>1.0</v>
      </c>
      <c r="R500" s="167">
        <v>1.0</v>
      </c>
      <c r="S500" s="167">
        <v>1.0</v>
      </c>
      <c r="T500" s="168">
        <v>1.0</v>
      </c>
      <c r="U500" s="170">
        <f t="shared" si="112"/>
        <v>1</v>
      </c>
      <c r="V500" s="170">
        <f t="shared" si="113"/>
        <v>1</v>
      </c>
    </row>
    <row r="501">
      <c r="A501" s="163">
        <v>5110003.0</v>
      </c>
      <c r="B501" s="164" t="s">
        <v>1195</v>
      </c>
      <c r="C501" s="165">
        <v>7.0</v>
      </c>
      <c r="D501" s="166">
        <v>1.0</v>
      </c>
      <c r="E501" s="178"/>
      <c r="F501" s="178"/>
      <c r="G501" s="178"/>
      <c r="H501" s="178"/>
      <c r="I501" s="168">
        <v>1.0</v>
      </c>
      <c r="J501" s="167">
        <v>1.0</v>
      </c>
      <c r="K501" s="178"/>
      <c r="L501" s="178"/>
      <c r="M501" s="178"/>
      <c r="N501" s="178"/>
      <c r="O501" s="169">
        <v>1.0</v>
      </c>
      <c r="P501" s="180"/>
      <c r="Q501" s="178"/>
      <c r="R501" s="178"/>
      <c r="S501" s="178"/>
      <c r="T501" s="181"/>
      <c r="U501" s="170">
        <f t="shared" si="112"/>
        <v>1</v>
      </c>
      <c r="V501" s="170" t="str">
        <f t="shared" si="113"/>
        <v/>
      </c>
    </row>
    <row r="502">
      <c r="A502" s="163">
        <v>5110004.0</v>
      </c>
      <c r="B502" s="164" t="s">
        <v>1197</v>
      </c>
      <c r="C502" s="165">
        <v>7.0</v>
      </c>
      <c r="D502" s="166">
        <v>1.0</v>
      </c>
      <c r="E502" s="167">
        <v>1.0</v>
      </c>
      <c r="F502" s="167">
        <v>1.0</v>
      </c>
      <c r="G502" s="167">
        <v>1.0</v>
      </c>
      <c r="H502" s="167">
        <v>1.0</v>
      </c>
      <c r="I502" s="168">
        <v>1.0</v>
      </c>
      <c r="J502" s="167">
        <v>1.0</v>
      </c>
      <c r="K502" s="167">
        <v>1.0</v>
      </c>
      <c r="L502" s="167">
        <v>1.0</v>
      </c>
      <c r="M502" s="167">
        <v>1.0</v>
      </c>
      <c r="N502" s="167">
        <v>1.0</v>
      </c>
      <c r="O502" s="169">
        <v>1.0</v>
      </c>
      <c r="P502" s="166">
        <v>1.0</v>
      </c>
      <c r="Q502" s="167">
        <v>1.0</v>
      </c>
      <c r="R502" s="167">
        <v>1.0</v>
      </c>
      <c r="S502" s="167">
        <v>1.0</v>
      </c>
      <c r="T502" s="168">
        <v>1.0</v>
      </c>
      <c r="U502" s="170">
        <f t="shared" si="112"/>
        <v>1</v>
      </c>
      <c r="V502" s="170">
        <f t="shared" si="113"/>
        <v>1</v>
      </c>
    </row>
    <row r="503">
      <c r="A503" s="163">
        <v>5110006.0</v>
      </c>
      <c r="B503" s="164" t="s">
        <v>1202</v>
      </c>
      <c r="C503" s="165">
        <v>7.0</v>
      </c>
      <c r="D503" s="166">
        <v>1.0</v>
      </c>
      <c r="E503" s="178"/>
      <c r="F503" s="178"/>
      <c r="G503" s="178"/>
      <c r="H503" s="167">
        <v>1.0</v>
      </c>
      <c r="I503" s="168">
        <v>1.0</v>
      </c>
      <c r="J503" s="167">
        <v>1.0</v>
      </c>
      <c r="K503" s="178"/>
      <c r="L503" s="178"/>
      <c r="M503" s="178"/>
      <c r="N503" s="167">
        <v>1.0</v>
      </c>
      <c r="O503" s="169">
        <v>1.0</v>
      </c>
      <c r="P503" s="180"/>
      <c r="Q503" s="178"/>
      <c r="R503" s="178"/>
      <c r="S503" s="178"/>
      <c r="T503" s="181"/>
      <c r="U503" s="170">
        <f t="shared" si="112"/>
        <v>1</v>
      </c>
      <c r="V503" s="170" t="str">
        <f t="shared" si="113"/>
        <v/>
      </c>
    </row>
    <row r="504">
      <c r="A504" s="163">
        <v>5110008.0</v>
      </c>
      <c r="B504" s="164" t="s">
        <v>1206</v>
      </c>
      <c r="C504" s="165">
        <v>7.0</v>
      </c>
      <c r="D504" s="166">
        <v>1.0</v>
      </c>
      <c r="E504" s="178"/>
      <c r="F504" s="178"/>
      <c r="G504" s="178"/>
      <c r="H504" s="167">
        <v>1.0</v>
      </c>
      <c r="I504" s="168">
        <v>1.0</v>
      </c>
      <c r="J504" s="178"/>
      <c r="K504" s="178"/>
      <c r="L504" s="178"/>
      <c r="M504" s="178"/>
      <c r="N504" s="178"/>
      <c r="O504" s="179"/>
      <c r="P504" s="180"/>
      <c r="Q504" s="178"/>
      <c r="R504" s="178"/>
      <c r="S504" s="178"/>
      <c r="T504" s="181"/>
      <c r="U504" s="170">
        <f t="shared" si="112"/>
        <v>1</v>
      </c>
      <c r="V504" s="170" t="str">
        <f t="shared" si="113"/>
        <v/>
      </c>
    </row>
    <row r="505">
      <c r="A505" s="163">
        <v>5110010.0</v>
      </c>
      <c r="B505" s="164" t="s">
        <v>1210</v>
      </c>
      <c r="C505" s="165">
        <v>7.0</v>
      </c>
      <c r="D505" s="166">
        <v>1.0</v>
      </c>
      <c r="E505" s="178"/>
      <c r="F505" s="178"/>
      <c r="G505" s="178"/>
      <c r="H505" s="178"/>
      <c r="I505" s="168">
        <v>1.0</v>
      </c>
      <c r="J505" s="167">
        <v>1.0</v>
      </c>
      <c r="K505" s="178"/>
      <c r="L505" s="178"/>
      <c r="M505" s="178"/>
      <c r="N505" s="178"/>
      <c r="O505" s="169">
        <v>1.0</v>
      </c>
      <c r="P505" s="180"/>
      <c r="Q505" s="178"/>
      <c r="R505" s="178"/>
      <c r="S505" s="178"/>
      <c r="T505" s="181"/>
      <c r="U505" s="170">
        <f t="shared" si="112"/>
        <v>1</v>
      </c>
      <c r="V505" s="170" t="str">
        <f t="shared" si="113"/>
        <v/>
      </c>
    </row>
    <row r="506">
      <c r="A506" s="163">
        <v>5110011.0</v>
      </c>
      <c r="B506" s="164" t="s">
        <v>1212</v>
      </c>
      <c r="C506" s="165">
        <v>7.0</v>
      </c>
      <c r="D506" s="166">
        <v>1.0</v>
      </c>
      <c r="E506" s="178"/>
      <c r="F506" s="178"/>
      <c r="G506" s="178"/>
      <c r="H506" s="178"/>
      <c r="I506" s="168">
        <v>1.0</v>
      </c>
      <c r="J506" s="178"/>
      <c r="K506" s="178"/>
      <c r="L506" s="178"/>
      <c r="M506" s="178"/>
      <c r="N506" s="178"/>
      <c r="O506" s="179"/>
      <c r="P506" s="180"/>
      <c r="Q506" s="178"/>
      <c r="R506" s="178"/>
      <c r="S506" s="178"/>
      <c r="T506" s="181"/>
      <c r="U506" s="170">
        <f t="shared" si="112"/>
        <v>1</v>
      </c>
      <c r="V506" s="170" t="str">
        <f t="shared" si="113"/>
        <v/>
      </c>
    </row>
    <row r="507">
      <c r="A507" s="163">
        <v>5110012.0</v>
      </c>
      <c r="B507" s="164" t="s">
        <v>1214</v>
      </c>
      <c r="C507" s="165">
        <v>7.0</v>
      </c>
      <c r="D507" s="166">
        <v>1.0</v>
      </c>
      <c r="E507" s="167">
        <v>1.0</v>
      </c>
      <c r="F507" s="167">
        <v>1.0</v>
      </c>
      <c r="G507" s="167">
        <v>1.0</v>
      </c>
      <c r="H507" s="167">
        <v>1.0</v>
      </c>
      <c r="I507" s="168">
        <v>1.0</v>
      </c>
      <c r="J507" s="167">
        <v>1.0</v>
      </c>
      <c r="K507" s="167">
        <v>1.0</v>
      </c>
      <c r="L507" s="167">
        <v>1.0</v>
      </c>
      <c r="M507" s="167">
        <v>1.0</v>
      </c>
      <c r="N507" s="167">
        <v>1.0</v>
      </c>
      <c r="O507" s="169">
        <v>1.0</v>
      </c>
      <c r="P507" s="166">
        <v>1.0</v>
      </c>
      <c r="Q507" s="167">
        <v>1.0</v>
      </c>
      <c r="R507" s="167">
        <v>1.0</v>
      </c>
      <c r="S507" s="167">
        <v>1.0</v>
      </c>
      <c r="T507" s="168">
        <v>1.0</v>
      </c>
      <c r="U507" s="170">
        <f t="shared" si="112"/>
        <v>1</v>
      </c>
      <c r="V507" s="170">
        <f t="shared" si="113"/>
        <v>1</v>
      </c>
    </row>
    <row r="508">
      <c r="A508" s="163">
        <v>5110013.0</v>
      </c>
      <c r="B508" s="164" t="s">
        <v>1216</v>
      </c>
      <c r="C508" s="165">
        <v>7.0</v>
      </c>
      <c r="D508" s="166">
        <v>1.0</v>
      </c>
      <c r="E508" s="178"/>
      <c r="F508" s="178"/>
      <c r="G508" s="178"/>
      <c r="H508" s="178"/>
      <c r="I508" s="168">
        <v>1.0</v>
      </c>
      <c r="J508" s="178"/>
      <c r="K508" s="178"/>
      <c r="L508" s="178"/>
      <c r="M508" s="178"/>
      <c r="N508" s="178"/>
      <c r="O508" s="179"/>
      <c r="P508" s="180"/>
      <c r="Q508" s="178"/>
      <c r="R508" s="178"/>
      <c r="S508" s="178"/>
      <c r="T508" s="181"/>
      <c r="U508" s="170">
        <f t="shared" si="112"/>
        <v>1</v>
      </c>
      <c r="V508" s="170" t="str">
        <f t="shared" si="113"/>
        <v/>
      </c>
    </row>
    <row r="509">
      <c r="A509" s="149">
        <v>5120000.0</v>
      </c>
      <c r="B509" s="150" t="s">
        <v>1858</v>
      </c>
      <c r="C509" s="151">
        <v>3.0</v>
      </c>
      <c r="D509" s="218"/>
      <c r="E509" s="153"/>
      <c r="F509" s="153"/>
      <c r="G509" s="153"/>
      <c r="H509" s="153"/>
      <c r="I509" s="154"/>
      <c r="J509" s="153"/>
      <c r="K509" s="153"/>
      <c r="L509" s="153"/>
      <c r="M509" s="153"/>
      <c r="N509" s="153"/>
      <c r="O509" s="155"/>
      <c r="P509" s="152"/>
      <c r="Q509" s="153"/>
      <c r="R509" s="153"/>
      <c r="S509" s="153"/>
      <c r="T509" s="154"/>
    </row>
    <row r="510">
      <c r="A510" s="163">
        <v>5120002.0</v>
      </c>
      <c r="B510" s="164" t="s">
        <v>1220</v>
      </c>
      <c r="C510" s="165">
        <v>7.0</v>
      </c>
      <c r="D510" s="166">
        <v>1.0</v>
      </c>
      <c r="E510" s="167">
        <v>1.0</v>
      </c>
      <c r="F510" s="167">
        <v>1.0</v>
      </c>
      <c r="G510" s="167">
        <v>1.0</v>
      </c>
      <c r="H510" s="167">
        <v>1.0</v>
      </c>
      <c r="I510" s="168">
        <v>1.0</v>
      </c>
      <c r="J510" s="167">
        <v>1.0</v>
      </c>
      <c r="K510" s="167">
        <v>1.0</v>
      </c>
      <c r="L510" s="167">
        <v>1.0</v>
      </c>
      <c r="M510" s="167">
        <v>1.0</v>
      </c>
      <c r="N510" s="167">
        <v>1.0</v>
      </c>
      <c r="O510" s="169">
        <v>1.0</v>
      </c>
      <c r="P510" s="166">
        <v>1.0</v>
      </c>
      <c r="Q510" s="167">
        <v>1.0</v>
      </c>
      <c r="R510" s="167">
        <v>1.0</v>
      </c>
      <c r="S510" s="167">
        <v>1.0</v>
      </c>
      <c r="T510" s="168">
        <v>1.0</v>
      </c>
      <c r="U510" s="170">
        <f t="shared" ref="U510:U514" si="114">if(I510+O510&gt;0,1,"")</f>
        <v>1</v>
      </c>
      <c r="V510" s="170">
        <f t="shared" ref="V510:V514" si="115">if(T510&gt;0,1,"")</f>
        <v>1</v>
      </c>
    </row>
    <row r="511">
      <c r="A511" s="163">
        <v>5120006.0</v>
      </c>
      <c r="B511" s="164" t="s">
        <v>1229</v>
      </c>
      <c r="C511" s="165">
        <v>7.0</v>
      </c>
      <c r="D511" s="166">
        <v>1.0</v>
      </c>
      <c r="E511" s="167">
        <v>1.0</v>
      </c>
      <c r="F511" s="167">
        <v>1.0</v>
      </c>
      <c r="G511" s="167">
        <v>1.0</v>
      </c>
      <c r="H511" s="167">
        <v>1.0</v>
      </c>
      <c r="I511" s="168">
        <v>1.0</v>
      </c>
      <c r="J511" s="178"/>
      <c r="K511" s="167">
        <v>1.0</v>
      </c>
      <c r="L511" s="167">
        <v>1.0</v>
      </c>
      <c r="M511" s="167">
        <v>1.0</v>
      </c>
      <c r="N511" s="167">
        <v>1.0</v>
      </c>
      <c r="O511" s="169">
        <v>1.0</v>
      </c>
      <c r="P511" s="166">
        <v>1.0</v>
      </c>
      <c r="Q511" s="167">
        <v>1.0</v>
      </c>
      <c r="R511" s="167">
        <v>1.0</v>
      </c>
      <c r="S511" s="167">
        <v>1.0</v>
      </c>
      <c r="T511" s="168">
        <v>1.0</v>
      </c>
      <c r="U511" s="170">
        <f t="shared" si="114"/>
        <v>1</v>
      </c>
      <c r="V511" s="170">
        <f t="shared" si="115"/>
        <v>1</v>
      </c>
    </row>
    <row r="512">
      <c r="A512" s="163">
        <v>5120007.0</v>
      </c>
      <c r="B512" s="164" t="s">
        <v>1231</v>
      </c>
      <c r="C512" s="165">
        <v>7.0</v>
      </c>
      <c r="D512" s="166">
        <v>1.0</v>
      </c>
      <c r="E512" s="178"/>
      <c r="F512" s="167">
        <v>1.0</v>
      </c>
      <c r="G512" s="167">
        <v>1.0</v>
      </c>
      <c r="H512" s="167">
        <v>1.0</v>
      </c>
      <c r="I512" s="168">
        <v>1.0</v>
      </c>
      <c r="J512" s="178"/>
      <c r="K512" s="178"/>
      <c r="L512" s="178"/>
      <c r="M512" s="178"/>
      <c r="N512" s="178"/>
      <c r="O512" s="179"/>
      <c r="P512" s="180"/>
      <c r="Q512" s="178"/>
      <c r="R512" s="178"/>
      <c r="S512" s="178"/>
      <c r="T512" s="181"/>
      <c r="U512" s="170">
        <f t="shared" si="114"/>
        <v>1</v>
      </c>
      <c r="V512" s="170" t="str">
        <f t="shared" si="115"/>
        <v/>
      </c>
    </row>
    <row r="513">
      <c r="A513" s="163">
        <v>5120011.0</v>
      </c>
      <c r="B513" s="164" t="s">
        <v>1233</v>
      </c>
      <c r="C513" s="165">
        <v>7.0</v>
      </c>
      <c r="D513" s="166">
        <v>1.0</v>
      </c>
      <c r="E513" s="167">
        <v>1.0</v>
      </c>
      <c r="F513" s="167">
        <v>1.0</v>
      </c>
      <c r="G513" s="167">
        <v>1.0</v>
      </c>
      <c r="H513" s="167">
        <v>1.0</v>
      </c>
      <c r="I513" s="168">
        <v>1.0</v>
      </c>
      <c r="J513" s="167">
        <v>1.0</v>
      </c>
      <c r="K513" s="167">
        <v>1.0</v>
      </c>
      <c r="L513" s="167">
        <v>1.0</v>
      </c>
      <c r="M513" s="167">
        <v>1.0</v>
      </c>
      <c r="N513" s="167">
        <v>1.0</v>
      </c>
      <c r="O513" s="169">
        <v>1.0</v>
      </c>
      <c r="P513" s="166">
        <v>1.0</v>
      </c>
      <c r="Q513" s="167">
        <v>1.0</v>
      </c>
      <c r="R513" s="167">
        <v>1.0</v>
      </c>
      <c r="S513" s="167">
        <v>1.0</v>
      </c>
      <c r="T513" s="168">
        <v>1.0</v>
      </c>
      <c r="U513" s="170">
        <f t="shared" si="114"/>
        <v>1</v>
      </c>
      <c r="V513" s="170">
        <f t="shared" si="115"/>
        <v>1</v>
      </c>
    </row>
    <row r="514">
      <c r="A514" s="163">
        <v>5120012.0</v>
      </c>
      <c r="B514" s="164" t="s">
        <v>1235</v>
      </c>
      <c r="C514" s="165">
        <v>7.0</v>
      </c>
      <c r="D514" s="166">
        <v>1.0</v>
      </c>
      <c r="E514" s="167">
        <v>1.0</v>
      </c>
      <c r="F514" s="167">
        <v>1.0</v>
      </c>
      <c r="G514" s="167">
        <v>1.0</v>
      </c>
      <c r="H514" s="167">
        <v>1.0</v>
      </c>
      <c r="I514" s="168">
        <v>1.0</v>
      </c>
      <c r="J514" s="178"/>
      <c r="K514" s="178"/>
      <c r="L514" s="178"/>
      <c r="M514" s="178"/>
      <c r="N514" s="178"/>
      <c r="O514" s="179"/>
      <c r="P514" s="180"/>
      <c r="Q514" s="178"/>
      <c r="R514" s="178"/>
      <c r="S514" s="178"/>
      <c r="T514" s="181"/>
      <c r="U514" s="170">
        <f t="shared" si="114"/>
        <v>1</v>
      </c>
      <c r="V514" s="170" t="str">
        <f t="shared" si="115"/>
        <v/>
      </c>
    </row>
    <row r="515">
      <c r="A515" s="142">
        <v>5200000.0</v>
      </c>
      <c r="B515" s="143" t="s">
        <v>1859</v>
      </c>
      <c r="C515" s="144">
        <v>2.0</v>
      </c>
      <c r="D515" s="145"/>
      <c r="E515" s="146"/>
      <c r="F515" s="146"/>
      <c r="G515" s="146"/>
      <c r="H515" s="146"/>
      <c r="I515" s="147"/>
      <c r="J515" s="146"/>
      <c r="K515" s="146"/>
      <c r="L515" s="146"/>
      <c r="M515" s="146"/>
      <c r="N515" s="146"/>
      <c r="O515" s="148"/>
      <c r="P515" s="145"/>
      <c r="Q515" s="146"/>
      <c r="R515" s="146"/>
      <c r="S515" s="146"/>
      <c r="T515" s="147"/>
    </row>
    <row r="516">
      <c r="A516" s="149">
        <v>5210000.0</v>
      </c>
      <c r="B516" s="150" t="s">
        <v>1860</v>
      </c>
      <c r="C516" s="151">
        <v>3.0</v>
      </c>
      <c r="D516" s="152"/>
      <c r="E516" s="153"/>
      <c r="F516" s="153"/>
      <c r="G516" s="153"/>
      <c r="H516" s="153"/>
      <c r="I516" s="154"/>
      <c r="J516" s="153"/>
      <c r="K516" s="153"/>
      <c r="L516" s="153"/>
      <c r="M516" s="153"/>
      <c r="N516" s="153"/>
      <c r="O516" s="155"/>
      <c r="P516" s="152"/>
      <c r="Q516" s="153"/>
      <c r="R516" s="153"/>
      <c r="S516" s="153"/>
      <c r="T516" s="154"/>
    </row>
    <row r="517">
      <c r="A517" s="156">
        <v>5211000.0</v>
      </c>
      <c r="B517" s="157" t="s">
        <v>1861</v>
      </c>
      <c r="C517" s="158">
        <v>4.0</v>
      </c>
      <c r="D517" s="220"/>
      <c r="E517" s="160"/>
      <c r="F517" s="160"/>
      <c r="G517" s="160"/>
      <c r="H517" s="160"/>
      <c r="I517" s="161"/>
      <c r="J517" s="160"/>
      <c r="K517" s="160"/>
      <c r="L517" s="160"/>
      <c r="M517" s="160"/>
      <c r="N517" s="160"/>
      <c r="O517" s="162"/>
      <c r="P517" s="159"/>
      <c r="Q517" s="160"/>
      <c r="R517" s="160"/>
      <c r="S517" s="160"/>
      <c r="T517" s="161"/>
    </row>
    <row r="518">
      <c r="A518" s="163">
        <v>5211002.0</v>
      </c>
      <c r="B518" s="164" t="s">
        <v>1237</v>
      </c>
      <c r="C518" s="165">
        <v>7.0</v>
      </c>
      <c r="D518" s="166">
        <v>1.0</v>
      </c>
      <c r="E518" s="167">
        <v>1.0</v>
      </c>
      <c r="F518" s="167">
        <v>1.0</v>
      </c>
      <c r="G518" s="167">
        <v>1.0</v>
      </c>
      <c r="H518" s="167">
        <v>1.0</v>
      </c>
      <c r="I518" s="168">
        <v>1.0</v>
      </c>
      <c r="J518" s="167">
        <v>1.0</v>
      </c>
      <c r="K518" s="167">
        <v>1.0</v>
      </c>
      <c r="L518" s="167">
        <v>1.0</v>
      </c>
      <c r="M518" s="167">
        <v>1.0</v>
      </c>
      <c r="N518" s="167">
        <v>1.0</v>
      </c>
      <c r="O518" s="169">
        <v>1.0</v>
      </c>
      <c r="P518" s="166">
        <v>1.0</v>
      </c>
      <c r="Q518" s="167">
        <v>1.0</v>
      </c>
      <c r="R518" s="167">
        <v>1.0</v>
      </c>
      <c r="S518" s="167">
        <v>1.0</v>
      </c>
      <c r="T518" s="168">
        <v>1.0</v>
      </c>
      <c r="U518" s="170">
        <f t="shared" ref="U518:U521" si="116">if(I518+O518&gt;0,1,"")</f>
        <v>1</v>
      </c>
      <c r="V518" s="170">
        <f t="shared" ref="V518:V521" si="117">if(T518&gt;0,1,"")</f>
        <v>1</v>
      </c>
    </row>
    <row r="519">
      <c r="A519" s="163">
        <v>5211003.0</v>
      </c>
      <c r="B519" s="164" t="s">
        <v>1239</v>
      </c>
      <c r="C519" s="165">
        <v>7.0</v>
      </c>
      <c r="D519" s="166">
        <v>1.0</v>
      </c>
      <c r="E519" s="167">
        <v>1.0</v>
      </c>
      <c r="F519" s="167">
        <v>1.0</v>
      </c>
      <c r="G519" s="167">
        <v>1.0</v>
      </c>
      <c r="H519" s="167">
        <v>1.0</v>
      </c>
      <c r="I519" s="168">
        <v>1.0</v>
      </c>
      <c r="J519" s="167">
        <v>1.0</v>
      </c>
      <c r="K519" s="167">
        <v>1.0</v>
      </c>
      <c r="L519" s="167">
        <v>1.0</v>
      </c>
      <c r="M519" s="167">
        <v>1.0</v>
      </c>
      <c r="N519" s="167">
        <v>1.0</v>
      </c>
      <c r="O519" s="169">
        <v>1.0</v>
      </c>
      <c r="P519" s="166">
        <v>1.0</v>
      </c>
      <c r="Q519" s="167">
        <v>1.0</v>
      </c>
      <c r="R519" s="167">
        <v>1.0</v>
      </c>
      <c r="S519" s="167">
        <v>1.0</v>
      </c>
      <c r="T519" s="168">
        <v>1.0</v>
      </c>
      <c r="U519" s="170">
        <f t="shared" si="116"/>
        <v>1</v>
      </c>
      <c r="V519" s="170">
        <f t="shared" si="117"/>
        <v>1</v>
      </c>
    </row>
    <row r="520">
      <c r="A520" s="163">
        <v>5211004.0</v>
      </c>
      <c r="B520" s="164" t="s">
        <v>1241</v>
      </c>
      <c r="C520" s="165">
        <v>7.0</v>
      </c>
      <c r="D520" s="166">
        <v>1.0</v>
      </c>
      <c r="E520" s="167">
        <v>1.0</v>
      </c>
      <c r="F520" s="167">
        <v>1.0</v>
      </c>
      <c r="G520" s="167">
        <v>1.0</v>
      </c>
      <c r="H520" s="167">
        <v>1.0</v>
      </c>
      <c r="I520" s="168">
        <v>1.0</v>
      </c>
      <c r="J520" s="178"/>
      <c r="K520" s="167">
        <v>1.0</v>
      </c>
      <c r="L520" s="167">
        <v>1.0</v>
      </c>
      <c r="M520" s="167">
        <v>1.0</v>
      </c>
      <c r="N520" s="167">
        <v>1.0</v>
      </c>
      <c r="O520" s="169">
        <v>1.0</v>
      </c>
      <c r="P520" s="166">
        <v>1.0</v>
      </c>
      <c r="Q520" s="167">
        <v>1.0</v>
      </c>
      <c r="R520" s="167">
        <v>1.0</v>
      </c>
      <c r="S520" s="167">
        <v>1.0</v>
      </c>
      <c r="T520" s="168">
        <v>1.0</v>
      </c>
      <c r="U520" s="170">
        <f t="shared" si="116"/>
        <v>1</v>
      </c>
      <c r="V520" s="170">
        <f t="shared" si="117"/>
        <v>1</v>
      </c>
    </row>
    <row r="521">
      <c r="A521" s="163">
        <v>5211005.0</v>
      </c>
      <c r="B521" s="164" t="s">
        <v>1243</v>
      </c>
      <c r="C521" s="165">
        <v>7.0</v>
      </c>
      <c r="D521" s="166">
        <v>1.0</v>
      </c>
      <c r="E521" s="167">
        <v>1.0</v>
      </c>
      <c r="F521" s="167">
        <v>1.0</v>
      </c>
      <c r="G521" s="167">
        <v>1.0</v>
      </c>
      <c r="H521" s="167">
        <v>1.0</v>
      </c>
      <c r="I521" s="168">
        <v>1.0</v>
      </c>
      <c r="J521" s="167">
        <v>1.0</v>
      </c>
      <c r="K521" s="167">
        <v>1.0</v>
      </c>
      <c r="L521" s="167">
        <v>1.0</v>
      </c>
      <c r="M521" s="167">
        <v>1.0</v>
      </c>
      <c r="N521" s="167">
        <v>1.0</v>
      </c>
      <c r="O521" s="169">
        <v>1.0</v>
      </c>
      <c r="P521" s="166">
        <v>1.0</v>
      </c>
      <c r="Q521" s="167">
        <v>1.0</v>
      </c>
      <c r="R521" s="167">
        <v>1.0</v>
      </c>
      <c r="S521" s="167">
        <v>1.0</v>
      </c>
      <c r="T521" s="168">
        <v>1.0</v>
      </c>
      <c r="U521" s="170">
        <f t="shared" si="116"/>
        <v>1</v>
      </c>
      <c r="V521" s="170">
        <f t="shared" si="117"/>
        <v>1</v>
      </c>
    </row>
    <row r="522">
      <c r="A522" s="156">
        <v>5212000.0</v>
      </c>
      <c r="B522" s="157" t="s">
        <v>1862</v>
      </c>
      <c r="C522" s="158">
        <v>4.0</v>
      </c>
      <c r="D522" s="220"/>
      <c r="E522" s="160"/>
      <c r="F522" s="160"/>
      <c r="G522" s="160"/>
      <c r="H522" s="160"/>
      <c r="I522" s="161"/>
      <c r="J522" s="160"/>
      <c r="K522" s="160"/>
      <c r="L522" s="160"/>
      <c r="M522" s="160"/>
      <c r="N522" s="160"/>
      <c r="O522" s="162"/>
      <c r="P522" s="159"/>
      <c r="Q522" s="160"/>
      <c r="R522" s="160"/>
      <c r="S522" s="160"/>
      <c r="T522" s="161"/>
    </row>
    <row r="523">
      <c r="A523" s="163">
        <v>5212001.0</v>
      </c>
      <c r="B523" s="164" t="s">
        <v>1247</v>
      </c>
      <c r="C523" s="165">
        <v>7.0</v>
      </c>
      <c r="D523" s="166">
        <v>1.0</v>
      </c>
      <c r="E523" s="167">
        <v>1.0</v>
      </c>
      <c r="F523" s="167">
        <v>1.0</v>
      </c>
      <c r="G523" s="167">
        <v>1.0</v>
      </c>
      <c r="H523" s="167">
        <v>1.0</v>
      </c>
      <c r="I523" s="168">
        <v>1.0</v>
      </c>
      <c r="J523" s="178"/>
      <c r="K523" s="167">
        <v>1.0</v>
      </c>
      <c r="L523" s="167">
        <v>1.0</v>
      </c>
      <c r="M523" s="167">
        <v>1.0</v>
      </c>
      <c r="N523" s="167">
        <v>1.0</v>
      </c>
      <c r="O523" s="169">
        <v>1.0</v>
      </c>
      <c r="P523" s="166">
        <v>1.0</v>
      </c>
      <c r="Q523" s="167">
        <v>1.0</v>
      </c>
      <c r="R523" s="167">
        <v>1.0</v>
      </c>
      <c r="S523" s="167">
        <v>1.0</v>
      </c>
      <c r="T523" s="168">
        <v>1.0</v>
      </c>
      <c r="U523" s="170">
        <f t="shared" ref="U523:U526" si="118">if(I523+O523&gt;0,1,"")</f>
        <v>1</v>
      </c>
      <c r="V523" s="170">
        <f t="shared" ref="V523:V526" si="119">if(T523&gt;0,1,"")</f>
        <v>1</v>
      </c>
    </row>
    <row r="524">
      <c r="A524" s="163">
        <v>5212002.0</v>
      </c>
      <c r="B524" s="164" t="s">
        <v>1249</v>
      </c>
      <c r="C524" s="165">
        <v>7.0</v>
      </c>
      <c r="D524" s="166">
        <v>1.0</v>
      </c>
      <c r="E524" s="167">
        <v>1.0</v>
      </c>
      <c r="F524" s="167">
        <v>1.0</v>
      </c>
      <c r="G524" s="167">
        <v>1.0</v>
      </c>
      <c r="H524" s="167">
        <v>1.0</v>
      </c>
      <c r="I524" s="168">
        <v>1.0</v>
      </c>
      <c r="J524" s="167">
        <v>1.0</v>
      </c>
      <c r="K524" s="167">
        <v>1.0</v>
      </c>
      <c r="L524" s="167">
        <v>1.0</v>
      </c>
      <c r="M524" s="167">
        <v>1.0</v>
      </c>
      <c r="N524" s="167">
        <v>1.0</v>
      </c>
      <c r="O524" s="169">
        <v>1.0</v>
      </c>
      <c r="P524" s="166">
        <v>1.0</v>
      </c>
      <c r="Q524" s="167">
        <v>1.0</v>
      </c>
      <c r="R524" s="167">
        <v>1.0</v>
      </c>
      <c r="S524" s="167">
        <v>1.0</v>
      </c>
      <c r="T524" s="168">
        <v>1.0</v>
      </c>
      <c r="U524" s="170">
        <f t="shared" si="118"/>
        <v>1</v>
      </c>
      <c r="V524" s="170">
        <f t="shared" si="119"/>
        <v>1</v>
      </c>
    </row>
    <row r="525">
      <c r="A525" s="163">
        <v>5212004.0</v>
      </c>
      <c r="B525" s="164" t="s">
        <v>1253</v>
      </c>
      <c r="C525" s="165">
        <v>7.0</v>
      </c>
      <c r="D525" s="166">
        <v>1.0</v>
      </c>
      <c r="E525" s="167">
        <v>1.0</v>
      </c>
      <c r="F525" s="167">
        <v>1.0</v>
      </c>
      <c r="G525" s="167">
        <v>1.0</v>
      </c>
      <c r="H525" s="167">
        <v>1.0</v>
      </c>
      <c r="I525" s="168">
        <v>1.0</v>
      </c>
      <c r="J525" s="167">
        <v>1.0</v>
      </c>
      <c r="K525" s="167">
        <v>1.0</v>
      </c>
      <c r="L525" s="167">
        <v>1.0</v>
      </c>
      <c r="M525" s="167">
        <v>1.0</v>
      </c>
      <c r="N525" s="167">
        <v>1.0</v>
      </c>
      <c r="O525" s="169">
        <v>1.0</v>
      </c>
      <c r="P525" s="166">
        <v>1.0</v>
      </c>
      <c r="Q525" s="167">
        <v>1.0</v>
      </c>
      <c r="R525" s="167">
        <v>1.0</v>
      </c>
      <c r="S525" s="167">
        <v>1.0</v>
      </c>
      <c r="T525" s="168">
        <v>1.0</v>
      </c>
      <c r="U525" s="170">
        <f t="shared" si="118"/>
        <v>1</v>
      </c>
      <c r="V525" s="170">
        <f t="shared" si="119"/>
        <v>1</v>
      </c>
    </row>
    <row r="526">
      <c r="A526" s="163">
        <v>5212005.0</v>
      </c>
      <c r="B526" s="164" t="s">
        <v>1255</v>
      </c>
      <c r="C526" s="165">
        <v>7.0</v>
      </c>
      <c r="D526" s="180"/>
      <c r="E526" s="178"/>
      <c r="F526" s="167">
        <v>1.0</v>
      </c>
      <c r="G526" s="167">
        <v>1.0</v>
      </c>
      <c r="H526" s="178"/>
      <c r="I526" s="168">
        <v>1.0</v>
      </c>
      <c r="J526" s="178"/>
      <c r="K526" s="167">
        <v>1.0</v>
      </c>
      <c r="L526" s="167">
        <v>1.0</v>
      </c>
      <c r="M526" s="167">
        <v>1.0</v>
      </c>
      <c r="N526" s="167">
        <v>1.0</v>
      </c>
      <c r="O526" s="169">
        <v>1.0</v>
      </c>
      <c r="P526" s="180"/>
      <c r="Q526" s="167">
        <v>1.0</v>
      </c>
      <c r="R526" s="167">
        <v>1.0</v>
      </c>
      <c r="S526" s="167">
        <v>1.0</v>
      </c>
      <c r="T526" s="168">
        <v>1.0</v>
      </c>
      <c r="U526" s="170">
        <f t="shared" si="118"/>
        <v>1</v>
      </c>
      <c r="V526" s="170">
        <f t="shared" si="119"/>
        <v>1</v>
      </c>
    </row>
    <row r="527">
      <c r="A527" s="149">
        <v>5220000.0</v>
      </c>
      <c r="B527" s="150" t="s">
        <v>1863</v>
      </c>
      <c r="C527" s="151">
        <v>3.0</v>
      </c>
      <c r="D527" s="218"/>
      <c r="E527" s="153"/>
      <c r="F527" s="153"/>
      <c r="G527" s="153"/>
      <c r="H527" s="153"/>
      <c r="I527" s="154"/>
      <c r="J527" s="153"/>
      <c r="K527" s="153"/>
      <c r="L527" s="153"/>
      <c r="M527" s="153"/>
      <c r="N527" s="153"/>
      <c r="O527" s="155"/>
      <c r="P527" s="152"/>
      <c r="Q527" s="153"/>
      <c r="R527" s="153"/>
      <c r="S527" s="153"/>
      <c r="T527" s="154"/>
    </row>
    <row r="528">
      <c r="A528" s="163">
        <v>5220003.0</v>
      </c>
      <c r="B528" s="164" t="s">
        <v>1259</v>
      </c>
      <c r="C528" s="165">
        <v>7.0</v>
      </c>
      <c r="D528" s="166">
        <v>1.0</v>
      </c>
      <c r="E528" s="167">
        <v>1.0</v>
      </c>
      <c r="F528" s="167">
        <v>1.0</v>
      </c>
      <c r="G528" s="167">
        <v>1.0</v>
      </c>
      <c r="H528" s="167">
        <v>1.0</v>
      </c>
      <c r="I528" s="168">
        <v>1.0</v>
      </c>
      <c r="J528" s="178"/>
      <c r="K528" s="167">
        <v>1.0</v>
      </c>
      <c r="L528" s="167">
        <v>1.0</v>
      </c>
      <c r="M528" s="167">
        <v>1.0</v>
      </c>
      <c r="N528" s="167">
        <v>1.0</v>
      </c>
      <c r="O528" s="169">
        <v>1.0</v>
      </c>
      <c r="P528" s="166">
        <v>1.0</v>
      </c>
      <c r="Q528" s="167">
        <v>1.0</v>
      </c>
      <c r="R528" s="167">
        <v>1.0</v>
      </c>
      <c r="S528" s="167">
        <v>1.0</v>
      </c>
      <c r="T528" s="168">
        <v>1.0</v>
      </c>
      <c r="U528" s="170">
        <f t="shared" ref="U528:U536" si="120">if(I528+O528&gt;0,1,"")</f>
        <v>1</v>
      </c>
      <c r="V528" s="170">
        <f t="shared" ref="V528:V536" si="121">if(T528&gt;0,1,"")</f>
        <v>1</v>
      </c>
    </row>
    <row r="529">
      <c r="A529" s="163">
        <v>5220004.0</v>
      </c>
      <c r="B529" s="164" t="s">
        <v>1261</v>
      </c>
      <c r="C529" s="165">
        <v>7.0</v>
      </c>
      <c r="D529" s="166">
        <v>1.0</v>
      </c>
      <c r="E529" s="167">
        <v>1.0</v>
      </c>
      <c r="F529" s="167">
        <v>1.0</v>
      </c>
      <c r="G529" s="167">
        <v>1.0</v>
      </c>
      <c r="H529" s="167">
        <v>1.0</v>
      </c>
      <c r="I529" s="168">
        <v>1.0</v>
      </c>
      <c r="J529" s="167">
        <v>1.0</v>
      </c>
      <c r="K529" s="167">
        <v>1.0</v>
      </c>
      <c r="L529" s="167">
        <v>1.0</v>
      </c>
      <c r="M529" s="167">
        <v>1.0</v>
      </c>
      <c r="N529" s="167">
        <v>1.0</v>
      </c>
      <c r="O529" s="169">
        <v>1.0</v>
      </c>
      <c r="P529" s="166">
        <v>1.0</v>
      </c>
      <c r="Q529" s="167">
        <v>1.0</v>
      </c>
      <c r="R529" s="167">
        <v>1.0</v>
      </c>
      <c r="S529" s="167">
        <v>1.0</v>
      </c>
      <c r="T529" s="168">
        <v>1.0</v>
      </c>
      <c r="U529" s="170">
        <f t="shared" si="120"/>
        <v>1</v>
      </c>
      <c r="V529" s="170">
        <f t="shared" si="121"/>
        <v>1</v>
      </c>
    </row>
    <row r="530">
      <c r="A530" s="163">
        <v>5220005.0</v>
      </c>
      <c r="B530" s="164" t="s">
        <v>1263</v>
      </c>
      <c r="C530" s="165">
        <v>7.0</v>
      </c>
      <c r="D530" s="166">
        <v>1.0</v>
      </c>
      <c r="E530" s="167">
        <v>1.0</v>
      </c>
      <c r="F530" s="167">
        <v>1.0</v>
      </c>
      <c r="G530" s="167">
        <v>1.0</v>
      </c>
      <c r="H530" s="167">
        <v>1.0</v>
      </c>
      <c r="I530" s="168">
        <v>1.0</v>
      </c>
      <c r="J530" s="167">
        <v>1.0</v>
      </c>
      <c r="K530" s="167">
        <v>1.0</v>
      </c>
      <c r="L530" s="167">
        <v>1.0</v>
      </c>
      <c r="M530" s="167">
        <v>1.0</v>
      </c>
      <c r="N530" s="167">
        <v>1.0</v>
      </c>
      <c r="O530" s="169">
        <v>1.0</v>
      </c>
      <c r="P530" s="166">
        <v>1.0</v>
      </c>
      <c r="Q530" s="167">
        <v>1.0</v>
      </c>
      <c r="R530" s="167">
        <v>1.0</v>
      </c>
      <c r="S530" s="167">
        <v>1.0</v>
      </c>
      <c r="T530" s="168">
        <v>1.0</v>
      </c>
      <c r="U530" s="170">
        <f t="shared" si="120"/>
        <v>1</v>
      </c>
      <c r="V530" s="170">
        <f t="shared" si="121"/>
        <v>1</v>
      </c>
    </row>
    <row r="531">
      <c r="A531" s="163">
        <v>5220006.0</v>
      </c>
      <c r="B531" s="164" t="s">
        <v>1265</v>
      </c>
      <c r="C531" s="165">
        <v>7.0</v>
      </c>
      <c r="D531" s="166">
        <v>1.0</v>
      </c>
      <c r="E531" s="167">
        <v>1.0</v>
      </c>
      <c r="F531" s="167">
        <v>1.0</v>
      </c>
      <c r="G531" s="167">
        <v>1.0</v>
      </c>
      <c r="H531" s="167">
        <v>1.0</v>
      </c>
      <c r="I531" s="168">
        <v>1.0</v>
      </c>
      <c r="J531" s="167">
        <v>1.0</v>
      </c>
      <c r="K531" s="167">
        <v>1.0</v>
      </c>
      <c r="L531" s="167">
        <v>1.0</v>
      </c>
      <c r="M531" s="167">
        <v>1.0</v>
      </c>
      <c r="N531" s="167">
        <v>1.0</v>
      </c>
      <c r="O531" s="169">
        <v>1.0</v>
      </c>
      <c r="P531" s="166">
        <v>1.0</v>
      </c>
      <c r="Q531" s="167">
        <v>1.0</v>
      </c>
      <c r="R531" s="167">
        <v>1.0</v>
      </c>
      <c r="S531" s="167">
        <v>1.0</v>
      </c>
      <c r="T531" s="168">
        <v>1.0</v>
      </c>
      <c r="U531" s="170">
        <f t="shared" si="120"/>
        <v>1</v>
      </c>
      <c r="V531" s="170">
        <f t="shared" si="121"/>
        <v>1</v>
      </c>
    </row>
    <row r="532">
      <c r="A532" s="163">
        <v>5220007.0</v>
      </c>
      <c r="B532" s="164" t="s">
        <v>1267</v>
      </c>
      <c r="C532" s="165">
        <v>7.0</v>
      </c>
      <c r="D532" s="166">
        <v>1.0</v>
      </c>
      <c r="E532" s="167">
        <v>1.0</v>
      </c>
      <c r="F532" s="167">
        <v>1.0</v>
      </c>
      <c r="G532" s="167">
        <v>1.0</v>
      </c>
      <c r="H532" s="167">
        <v>1.0</v>
      </c>
      <c r="I532" s="168">
        <v>1.0</v>
      </c>
      <c r="J532" s="167">
        <v>1.0</v>
      </c>
      <c r="K532" s="167">
        <v>1.0</v>
      </c>
      <c r="L532" s="167">
        <v>1.0</v>
      </c>
      <c r="M532" s="167">
        <v>1.0</v>
      </c>
      <c r="N532" s="167">
        <v>1.0</v>
      </c>
      <c r="O532" s="169">
        <v>1.0</v>
      </c>
      <c r="P532" s="166">
        <v>1.0</v>
      </c>
      <c r="Q532" s="167">
        <v>1.0</v>
      </c>
      <c r="R532" s="167">
        <v>1.0</v>
      </c>
      <c r="S532" s="167">
        <v>1.0</v>
      </c>
      <c r="T532" s="168">
        <v>1.0</v>
      </c>
      <c r="U532" s="170">
        <f t="shared" si="120"/>
        <v>1</v>
      </c>
      <c r="V532" s="170">
        <f t="shared" si="121"/>
        <v>1</v>
      </c>
    </row>
    <row r="533">
      <c r="A533" s="163">
        <v>5220009.0</v>
      </c>
      <c r="B533" s="164" t="s">
        <v>1271</v>
      </c>
      <c r="C533" s="165">
        <v>7.0</v>
      </c>
      <c r="D533" s="166">
        <v>1.0</v>
      </c>
      <c r="E533" s="167">
        <v>1.0</v>
      </c>
      <c r="F533" s="167">
        <v>1.0</v>
      </c>
      <c r="G533" s="167">
        <v>1.0</v>
      </c>
      <c r="H533" s="167">
        <v>1.0</v>
      </c>
      <c r="I533" s="168">
        <v>1.0</v>
      </c>
      <c r="J533" s="167">
        <v>1.0</v>
      </c>
      <c r="K533" s="167">
        <v>1.0</v>
      </c>
      <c r="L533" s="167">
        <v>1.0</v>
      </c>
      <c r="M533" s="167">
        <v>1.0</v>
      </c>
      <c r="N533" s="178"/>
      <c r="O533" s="169">
        <v>1.0</v>
      </c>
      <c r="P533" s="166">
        <v>1.0</v>
      </c>
      <c r="Q533" s="167">
        <v>1.0</v>
      </c>
      <c r="R533" s="167">
        <v>1.0</v>
      </c>
      <c r="S533" s="167">
        <v>1.0</v>
      </c>
      <c r="T533" s="168">
        <v>1.0</v>
      </c>
      <c r="U533" s="170">
        <f t="shared" si="120"/>
        <v>1</v>
      </c>
      <c r="V533" s="170">
        <f t="shared" si="121"/>
        <v>1</v>
      </c>
    </row>
    <row r="534">
      <c r="A534" s="163">
        <v>5220010.0</v>
      </c>
      <c r="B534" s="164" t="s">
        <v>1273</v>
      </c>
      <c r="C534" s="165">
        <v>7.0</v>
      </c>
      <c r="D534" s="166">
        <v>1.0</v>
      </c>
      <c r="E534" s="167">
        <v>1.0</v>
      </c>
      <c r="F534" s="167">
        <v>1.0</v>
      </c>
      <c r="G534" s="167">
        <v>1.0</v>
      </c>
      <c r="H534" s="167">
        <v>1.0</v>
      </c>
      <c r="I534" s="168">
        <v>1.0</v>
      </c>
      <c r="J534" s="167">
        <v>1.0</v>
      </c>
      <c r="K534" s="167">
        <v>1.0</v>
      </c>
      <c r="L534" s="167">
        <v>1.0</v>
      </c>
      <c r="M534" s="167">
        <v>1.0</v>
      </c>
      <c r="N534" s="167">
        <v>1.0</v>
      </c>
      <c r="O534" s="169">
        <v>1.0</v>
      </c>
      <c r="P534" s="166">
        <v>1.0</v>
      </c>
      <c r="Q534" s="167">
        <v>1.0</v>
      </c>
      <c r="R534" s="167">
        <v>1.0</v>
      </c>
      <c r="S534" s="167">
        <v>1.0</v>
      </c>
      <c r="T534" s="168">
        <v>1.0</v>
      </c>
      <c r="U534" s="170">
        <f t="shared" si="120"/>
        <v>1</v>
      </c>
      <c r="V534" s="170">
        <f t="shared" si="121"/>
        <v>1</v>
      </c>
    </row>
    <row r="535">
      <c r="A535" s="163">
        <v>5220011.0</v>
      </c>
      <c r="B535" s="164" t="s">
        <v>1275</v>
      </c>
      <c r="C535" s="165">
        <v>7.0</v>
      </c>
      <c r="D535" s="166">
        <v>1.0</v>
      </c>
      <c r="E535" s="167">
        <v>1.0</v>
      </c>
      <c r="F535" s="167">
        <v>1.0</v>
      </c>
      <c r="G535" s="167">
        <v>1.0</v>
      </c>
      <c r="H535" s="167">
        <v>1.0</v>
      </c>
      <c r="I535" s="168">
        <v>1.0</v>
      </c>
      <c r="J535" s="167">
        <v>1.0</v>
      </c>
      <c r="K535" s="167">
        <v>1.0</v>
      </c>
      <c r="L535" s="167">
        <v>1.0</v>
      </c>
      <c r="M535" s="167">
        <v>1.0</v>
      </c>
      <c r="N535" s="167">
        <v>1.0</v>
      </c>
      <c r="O535" s="169">
        <v>1.0</v>
      </c>
      <c r="P535" s="166">
        <v>1.0</v>
      </c>
      <c r="Q535" s="167">
        <v>1.0</v>
      </c>
      <c r="R535" s="167">
        <v>1.0</v>
      </c>
      <c r="S535" s="167">
        <v>1.0</v>
      </c>
      <c r="T535" s="168">
        <v>1.0</v>
      </c>
      <c r="U535" s="170">
        <f t="shared" si="120"/>
        <v>1</v>
      </c>
      <c r="V535" s="170">
        <f t="shared" si="121"/>
        <v>1</v>
      </c>
    </row>
    <row r="536">
      <c r="A536" s="163">
        <v>5220013.0</v>
      </c>
      <c r="B536" s="164" t="s">
        <v>1279</v>
      </c>
      <c r="C536" s="165">
        <v>7.0</v>
      </c>
      <c r="D536" s="166">
        <v>1.0</v>
      </c>
      <c r="E536" s="167">
        <v>1.0</v>
      </c>
      <c r="F536" s="167">
        <v>1.0</v>
      </c>
      <c r="G536" s="167">
        <v>1.0</v>
      </c>
      <c r="H536" s="167">
        <v>1.0</v>
      </c>
      <c r="I536" s="168">
        <v>1.0</v>
      </c>
      <c r="J536" s="178"/>
      <c r="K536" s="167">
        <v>1.0</v>
      </c>
      <c r="L536" s="167">
        <v>1.0</v>
      </c>
      <c r="M536" s="167">
        <v>1.0</v>
      </c>
      <c r="N536" s="167">
        <v>1.0</v>
      </c>
      <c r="O536" s="169">
        <v>1.0</v>
      </c>
      <c r="P536" s="180"/>
      <c r="Q536" s="178"/>
      <c r="R536" s="178"/>
      <c r="S536" s="178"/>
      <c r="T536" s="181"/>
      <c r="U536" s="170">
        <f t="shared" si="120"/>
        <v>1</v>
      </c>
      <c r="V536" s="170" t="str">
        <f t="shared" si="121"/>
        <v/>
      </c>
    </row>
    <row r="537">
      <c r="A537" s="149">
        <v>5230000.0</v>
      </c>
      <c r="B537" s="150" t="s">
        <v>1864</v>
      </c>
      <c r="C537" s="151">
        <v>3.0</v>
      </c>
      <c r="D537" s="218"/>
      <c r="E537" s="153"/>
      <c r="F537" s="153"/>
      <c r="G537" s="153"/>
      <c r="H537" s="153"/>
      <c r="I537" s="154"/>
      <c r="J537" s="153"/>
      <c r="K537" s="153"/>
      <c r="L537" s="153"/>
      <c r="M537" s="153"/>
      <c r="N537" s="153"/>
      <c r="O537" s="155"/>
      <c r="P537" s="152"/>
      <c r="Q537" s="153"/>
      <c r="R537" s="153"/>
      <c r="S537" s="153"/>
      <c r="T537" s="154"/>
    </row>
    <row r="538">
      <c r="A538" s="163">
        <v>5230001.0</v>
      </c>
      <c r="B538" s="164" t="s">
        <v>1281</v>
      </c>
      <c r="C538" s="165">
        <v>7.0</v>
      </c>
      <c r="D538" s="166">
        <v>1.0</v>
      </c>
      <c r="E538" s="167">
        <v>1.0</v>
      </c>
      <c r="F538" s="167">
        <v>1.0</v>
      </c>
      <c r="G538" s="167">
        <v>1.0</v>
      </c>
      <c r="H538" s="167">
        <v>1.0</v>
      </c>
      <c r="I538" s="168">
        <v>1.0</v>
      </c>
      <c r="J538" s="178"/>
      <c r="K538" s="167">
        <v>1.0</v>
      </c>
      <c r="L538" s="167">
        <v>1.0</v>
      </c>
      <c r="M538" s="167">
        <v>1.0</v>
      </c>
      <c r="N538" s="167">
        <v>1.0</v>
      </c>
      <c r="O538" s="169">
        <v>1.0</v>
      </c>
      <c r="P538" s="166">
        <v>1.0</v>
      </c>
      <c r="Q538" s="167">
        <v>1.0</v>
      </c>
      <c r="R538" s="167">
        <v>1.0</v>
      </c>
      <c r="S538" s="167">
        <v>1.0</v>
      </c>
      <c r="T538" s="168">
        <v>1.0</v>
      </c>
      <c r="U538" s="170">
        <f t="shared" ref="U538:U544" si="122">if(I538+O538&gt;0,1,"")</f>
        <v>1</v>
      </c>
      <c r="V538" s="170">
        <f t="shared" ref="V538:V544" si="123">if(T538&gt;0,1,"")</f>
        <v>1</v>
      </c>
    </row>
    <row r="539">
      <c r="A539" s="163">
        <v>5230002.0</v>
      </c>
      <c r="B539" s="164" t="s">
        <v>1283</v>
      </c>
      <c r="C539" s="165">
        <v>7.0</v>
      </c>
      <c r="D539" s="166">
        <v>1.0</v>
      </c>
      <c r="E539" s="167">
        <v>1.0</v>
      </c>
      <c r="F539" s="167">
        <v>1.0</v>
      </c>
      <c r="G539" s="167">
        <v>1.0</v>
      </c>
      <c r="H539" s="167">
        <v>1.0</v>
      </c>
      <c r="I539" s="168">
        <v>1.0</v>
      </c>
      <c r="J539" s="167">
        <v>1.0</v>
      </c>
      <c r="K539" s="167">
        <v>1.0</v>
      </c>
      <c r="L539" s="167">
        <v>1.0</v>
      </c>
      <c r="M539" s="167">
        <v>1.0</v>
      </c>
      <c r="N539" s="167">
        <v>1.0</v>
      </c>
      <c r="O539" s="169">
        <v>1.0</v>
      </c>
      <c r="P539" s="166">
        <v>1.0</v>
      </c>
      <c r="Q539" s="167">
        <v>1.0</v>
      </c>
      <c r="R539" s="167">
        <v>1.0</v>
      </c>
      <c r="S539" s="167">
        <v>1.0</v>
      </c>
      <c r="T539" s="168">
        <v>1.0</v>
      </c>
      <c r="U539" s="170">
        <f t="shared" si="122"/>
        <v>1</v>
      </c>
      <c r="V539" s="170">
        <f t="shared" si="123"/>
        <v>1</v>
      </c>
    </row>
    <row r="540">
      <c r="A540" s="163">
        <v>5230004.0</v>
      </c>
      <c r="B540" s="164" t="s">
        <v>1287</v>
      </c>
      <c r="C540" s="165">
        <v>7.0</v>
      </c>
      <c r="D540" s="166">
        <v>1.0</v>
      </c>
      <c r="E540" s="167">
        <v>1.0</v>
      </c>
      <c r="F540" s="167">
        <v>1.0</v>
      </c>
      <c r="G540" s="167">
        <v>1.0</v>
      </c>
      <c r="H540" s="167">
        <v>1.0</v>
      </c>
      <c r="I540" s="168">
        <v>1.0</v>
      </c>
      <c r="J540" s="167">
        <v>1.0</v>
      </c>
      <c r="K540" s="167">
        <v>1.0</v>
      </c>
      <c r="L540" s="167">
        <v>1.0</v>
      </c>
      <c r="M540" s="167">
        <v>1.0</v>
      </c>
      <c r="N540" s="167">
        <v>1.0</v>
      </c>
      <c r="O540" s="169">
        <v>1.0</v>
      </c>
      <c r="P540" s="166">
        <v>1.0</v>
      </c>
      <c r="Q540" s="167">
        <v>1.0</v>
      </c>
      <c r="R540" s="167">
        <v>1.0</v>
      </c>
      <c r="S540" s="167">
        <v>1.0</v>
      </c>
      <c r="T540" s="168">
        <v>1.0</v>
      </c>
      <c r="U540" s="170">
        <f t="shared" si="122"/>
        <v>1</v>
      </c>
      <c r="V540" s="170">
        <f t="shared" si="123"/>
        <v>1</v>
      </c>
    </row>
    <row r="541">
      <c r="A541" s="163">
        <v>5230005.0</v>
      </c>
      <c r="B541" s="164" t="s">
        <v>1289</v>
      </c>
      <c r="C541" s="165">
        <v>7.0</v>
      </c>
      <c r="D541" s="166">
        <v>1.0</v>
      </c>
      <c r="E541" s="167">
        <v>1.0</v>
      </c>
      <c r="F541" s="167">
        <v>1.0</v>
      </c>
      <c r="G541" s="167">
        <v>1.0</v>
      </c>
      <c r="H541" s="167">
        <v>1.0</v>
      </c>
      <c r="I541" s="168">
        <v>1.0</v>
      </c>
      <c r="J541" s="178"/>
      <c r="K541" s="178"/>
      <c r="L541" s="178"/>
      <c r="M541" s="178"/>
      <c r="N541" s="178"/>
      <c r="O541" s="179"/>
      <c r="P541" s="180"/>
      <c r="Q541" s="178"/>
      <c r="R541" s="178"/>
      <c r="S541" s="178"/>
      <c r="T541" s="181"/>
      <c r="U541" s="170">
        <f t="shared" si="122"/>
        <v>1</v>
      </c>
      <c r="V541" s="170" t="str">
        <f t="shared" si="123"/>
        <v/>
      </c>
    </row>
    <row r="542">
      <c r="A542" s="163">
        <v>5230007.0</v>
      </c>
      <c r="B542" s="164" t="s">
        <v>1293</v>
      </c>
      <c r="C542" s="165">
        <v>7.0</v>
      </c>
      <c r="D542" s="166">
        <v>1.0</v>
      </c>
      <c r="E542" s="167">
        <v>1.0</v>
      </c>
      <c r="F542" s="167">
        <v>1.0</v>
      </c>
      <c r="G542" s="167">
        <v>1.0</v>
      </c>
      <c r="H542" s="167">
        <v>1.0</v>
      </c>
      <c r="I542" s="168">
        <v>1.0</v>
      </c>
      <c r="J542" s="167">
        <v>1.0</v>
      </c>
      <c r="K542" s="167">
        <v>1.0</v>
      </c>
      <c r="L542" s="167">
        <v>1.0</v>
      </c>
      <c r="M542" s="167">
        <v>1.0</v>
      </c>
      <c r="N542" s="167">
        <v>1.0</v>
      </c>
      <c r="O542" s="169">
        <v>1.0</v>
      </c>
      <c r="P542" s="166">
        <v>1.0</v>
      </c>
      <c r="Q542" s="167">
        <v>1.0</v>
      </c>
      <c r="R542" s="167">
        <v>1.0</v>
      </c>
      <c r="S542" s="167">
        <v>1.0</v>
      </c>
      <c r="T542" s="168">
        <v>1.0</v>
      </c>
      <c r="U542" s="170">
        <f t="shared" si="122"/>
        <v>1</v>
      </c>
      <c r="V542" s="170">
        <f t="shared" si="123"/>
        <v>1</v>
      </c>
    </row>
    <row r="543">
      <c r="A543" s="163">
        <v>5230008.0</v>
      </c>
      <c r="B543" s="164" t="s">
        <v>1295</v>
      </c>
      <c r="C543" s="165">
        <v>7.0</v>
      </c>
      <c r="D543" s="166">
        <v>1.0</v>
      </c>
      <c r="E543" s="167">
        <v>1.0</v>
      </c>
      <c r="F543" s="178"/>
      <c r="G543" s="178"/>
      <c r="H543" s="178"/>
      <c r="I543" s="168">
        <v>1.0</v>
      </c>
      <c r="J543" s="167">
        <v>1.0</v>
      </c>
      <c r="K543" s="178"/>
      <c r="L543" s="178"/>
      <c r="M543" s="178"/>
      <c r="N543" s="178"/>
      <c r="O543" s="169">
        <v>1.0</v>
      </c>
      <c r="P543" s="180"/>
      <c r="Q543" s="178"/>
      <c r="R543" s="178"/>
      <c r="S543" s="178"/>
      <c r="T543" s="181"/>
      <c r="U543" s="170">
        <f t="shared" si="122"/>
        <v>1</v>
      </c>
      <c r="V543" s="170" t="str">
        <f t="shared" si="123"/>
        <v/>
      </c>
    </row>
    <row r="544">
      <c r="A544" s="163">
        <v>5230009.0</v>
      </c>
      <c r="B544" s="164" t="s">
        <v>1297</v>
      </c>
      <c r="C544" s="165">
        <v>7.0</v>
      </c>
      <c r="D544" s="166">
        <v>1.0</v>
      </c>
      <c r="E544" s="167">
        <v>1.0</v>
      </c>
      <c r="F544" s="167">
        <v>1.0</v>
      </c>
      <c r="G544" s="167">
        <v>1.0</v>
      </c>
      <c r="H544" s="167">
        <v>1.0</v>
      </c>
      <c r="I544" s="168">
        <v>1.0</v>
      </c>
      <c r="J544" s="167">
        <v>1.0</v>
      </c>
      <c r="K544" s="167">
        <v>1.0</v>
      </c>
      <c r="L544" s="167">
        <v>1.0</v>
      </c>
      <c r="M544" s="167">
        <v>1.0</v>
      </c>
      <c r="N544" s="167">
        <v>1.0</v>
      </c>
      <c r="O544" s="169">
        <v>1.0</v>
      </c>
      <c r="P544" s="166">
        <v>1.0</v>
      </c>
      <c r="Q544" s="167">
        <v>1.0</v>
      </c>
      <c r="R544" s="167">
        <v>1.0</v>
      </c>
      <c r="S544" s="167">
        <v>1.0</v>
      </c>
      <c r="T544" s="168">
        <v>1.0</v>
      </c>
      <c r="U544" s="170">
        <f t="shared" si="122"/>
        <v>1</v>
      </c>
      <c r="V544" s="170">
        <f t="shared" si="123"/>
        <v>1</v>
      </c>
    </row>
    <row r="545">
      <c r="A545" s="142">
        <v>5300000.0</v>
      </c>
      <c r="B545" s="143" t="s">
        <v>1865</v>
      </c>
      <c r="C545" s="144">
        <v>2.0</v>
      </c>
      <c r="D545" s="145"/>
      <c r="E545" s="146"/>
      <c r="F545" s="146"/>
      <c r="G545" s="146"/>
      <c r="H545" s="146"/>
      <c r="I545" s="147"/>
      <c r="J545" s="146"/>
      <c r="K545" s="146"/>
      <c r="L545" s="146"/>
      <c r="M545" s="146"/>
      <c r="N545" s="146"/>
      <c r="O545" s="148"/>
      <c r="P545" s="145"/>
      <c r="Q545" s="146"/>
      <c r="R545" s="146"/>
      <c r="S545" s="146"/>
      <c r="T545" s="147"/>
    </row>
    <row r="546">
      <c r="A546" s="149">
        <v>5310000.0</v>
      </c>
      <c r="B546" s="150" t="s">
        <v>1866</v>
      </c>
      <c r="C546" s="151">
        <v>3.0</v>
      </c>
      <c r="D546" s="218"/>
      <c r="E546" s="153"/>
      <c r="F546" s="153"/>
      <c r="G546" s="153"/>
      <c r="H546" s="153"/>
      <c r="I546" s="154"/>
      <c r="J546" s="153"/>
      <c r="K546" s="153"/>
      <c r="L546" s="153"/>
      <c r="M546" s="153"/>
      <c r="N546" s="153"/>
      <c r="O546" s="155"/>
      <c r="P546" s="152"/>
      <c r="Q546" s="153"/>
      <c r="R546" s="153"/>
      <c r="S546" s="153"/>
      <c r="T546" s="154"/>
    </row>
    <row r="547">
      <c r="A547" s="163">
        <v>5310001.0</v>
      </c>
      <c r="B547" s="164" t="s">
        <v>1301</v>
      </c>
      <c r="C547" s="165">
        <v>7.0</v>
      </c>
      <c r="D547" s="166">
        <v>1.0</v>
      </c>
      <c r="E547" s="167">
        <v>1.0</v>
      </c>
      <c r="F547" s="167">
        <v>1.0</v>
      </c>
      <c r="G547" s="167">
        <v>1.0</v>
      </c>
      <c r="H547" s="167">
        <v>1.0</v>
      </c>
      <c r="I547" s="168">
        <v>1.0</v>
      </c>
      <c r="J547" s="167">
        <v>1.0</v>
      </c>
      <c r="K547" s="167">
        <v>1.0</v>
      </c>
      <c r="L547" s="167">
        <v>1.0</v>
      </c>
      <c r="M547" s="167">
        <v>1.0</v>
      </c>
      <c r="N547" s="167">
        <v>1.0</v>
      </c>
      <c r="O547" s="169">
        <v>1.0</v>
      </c>
      <c r="P547" s="166">
        <v>1.0</v>
      </c>
      <c r="Q547" s="167">
        <v>1.0</v>
      </c>
      <c r="R547" s="167">
        <v>1.0</v>
      </c>
      <c r="S547" s="167">
        <v>1.0</v>
      </c>
      <c r="T547" s="168">
        <v>1.0</v>
      </c>
      <c r="U547" s="170">
        <f t="shared" ref="U547:U548" si="124">if(I547+O547&gt;0,1,"")</f>
        <v>1</v>
      </c>
      <c r="V547" s="170">
        <f t="shared" ref="V547:V548" si="125">if(T547&gt;0,1,"")</f>
        <v>1</v>
      </c>
    </row>
    <row r="548">
      <c r="A548" s="163">
        <v>5310002.0</v>
      </c>
      <c r="B548" s="164" t="s">
        <v>1303</v>
      </c>
      <c r="C548" s="165">
        <v>7.0</v>
      </c>
      <c r="D548" s="166">
        <v>1.0</v>
      </c>
      <c r="E548" s="167">
        <v>1.0</v>
      </c>
      <c r="F548" s="167">
        <v>1.0</v>
      </c>
      <c r="G548" s="167">
        <v>1.0</v>
      </c>
      <c r="H548" s="167">
        <v>1.0</v>
      </c>
      <c r="I548" s="168">
        <v>1.0</v>
      </c>
      <c r="J548" s="167">
        <v>1.0</v>
      </c>
      <c r="K548" s="167">
        <v>1.0</v>
      </c>
      <c r="L548" s="167">
        <v>1.0</v>
      </c>
      <c r="M548" s="167">
        <v>1.0</v>
      </c>
      <c r="N548" s="167">
        <v>1.0</v>
      </c>
      <c r="O548" s="169">
        <v>1.0</v>
      </c>
      <c r="P548" s="166">
        <v>1.0</v>
      </c>
      <c r="Q548" s="167">
        <v>1.0</v>
      </c>
      <c r="R548" s="167">
        <v>1.0</v>
      </c>
      <c r="S548" s="167">
        <v>1.0</v>
      </c>
      <c r="T548" s="168">
        <v>1.0</v>
      </c>
      <c r="U548" s="170">
        <f t="shared" si="124"/>
        <v>1</v>
      </c>
      <c r="V548" s="170">
        <f t="shared" si="125"/>
        <v>1</v>
      </c>
    </row>
    <row r="549">
      <c r="A549" s="149">
        <v>5320000.0</v>
      </c>
      <c r="B549" s="150" t="s">
        <v>1867</v>
      </c>
      <c r="C549" s="151">
        <v>3.0</v>
      </c>
      <c r="D549" s="218"/>
      <c r="E549" s="153"/>
      <c r="F549" s="153"/>
      <c r="G549" s="153"/>
      <c r="H549" s="153"/>
      <c r="I549" s="154"/>
      <c r="J549" s="153"/>
      <c r="K549" s="153"/>
      <c r="L549" s="153"/>
      <c r="M549" s="153"/>
      <c r="N549" s="153"/>
      <c r="O549" s="155"/>
      <c r="P549" s="152"/>
      <c r="Q549" s="153"/>
      <c r="R549" s="153"/>
      <c r="S549" s="153"/>
      <c r="T549" s="154"/>
    </row>
    <row r="550">
      <c r="A550" s="163">
        <v>5320001.0</v>
      </c>
      <c r="B550" s="164" t="s">
        <v>1305</v>
      </c>
      <c r="C550" s="165">
        <v>7.0</v>
      </c>
      <c r="D550" s="166">
        <v>1.0</v>
      </c>
      <c r="E550" s="167">
        <v>1.0</v>
      </c>
      <c r="F550" s="167">
        <v>1.0</v>
      </c>
      <c r="G550" s="167">
        <v>1.0</v>
      </c>
      <c r="H550" s="167">
        <v>1.0</v>
      </c>
      <c r="I550" s="168">
        <v>1.0</v>
      </c>
      <c r="J550" s="167">
        <v>1.0</v>
      </c>
      <c r="K550" s="167">
        <v>1.0</v>
      </c>
      <c r="L550" s="167">
        <v>1.0</v>
      </c>
      <c r="M550" s="167">
        <v>1.0</v>
      </c>
      <c r="N550" s="167">
        <v>1.0</v>
      </c>
      <c r="O550" s="169">
        <v>1.0</v>
      </c>
      <c r="P550" s="166">
        <v>1.0</v>
      </c>
      <c r="Q550" s="167">
        <v>1.0</v>
      </c>
      <c r="R550" s="167">
        <v>1.0</v>
      </c>
      <c r="S550" s="167">
        <v>1.0</v>
      </c>
      <c r="T550" s="168">
        <v>1.0</v>
      </c>
      <c r="U550" s="170">
        <f t="shared" ref="U550:U551" si="126">if(I550+O550&gt;0,1,"")</f>
        <v>1</v>
      </c>
      <c r="V550" s="170">
        <f t="shared" ref="V550:V551" si="127">if(T550&gt;0,1,"")</f>
        <v>1</v>
      </c>
    </row>
    <row r="551">
      <c r="A551" s="163">
        <v>5320002.0</v>
      </c>
      <c r="B551" s="164" t="s">
        <v>1308</v>
      </c>
      <c r="C551" s="165">
        <v>7.0</v>
      </c>
      <c r="D551" s="166">
        <v>1.0</v>
      </c>
      <c r="E551" s="167">
        <v>1.0</v>
      </c>
      <c r="F551" s="167">
        <v>1.0</v>
      </c>
      <c r="G551" s="167">
        <v>1.0</v>
      </c>
      <c r="H551" s="167">
        <v>1.0</v>
      </c>
      <c r="I551" s="168">
        <v>1.0</v>
      </c>
      <c r="J551" s="167">
        <v>1.0</v>
      </c>
      <c r="K551" s="167">
        <v>1.0</v>
      </c>
      <c r="L551" s="167">
        <v>1.0</v>
      </c>
      <c r="M551" s="167">
        <v>1.0</v>
      </c>
      <c r="N551" s="167">
        <v>1.0</v>
      </c>
      <c r="O551" s="169">
        <v>1.0</v>
      </c>
      <c r="P551" s="166">
        <v>1.0</v>
      </c>
      <c r="Q551" s="167">
        <v>1.0</v>
      </c>
      <c r="R551" s="167">
        <v>1.0</v>
      </c>
      <c r="S551" s="167">
        <v>1.0</v>
      </c>
      <c r="T551" s="168">
        <v>1.0</v>
      </c>
      <c r="U551" s="170">
        <f t="shared" si="126"/>
        <v>1</v>
      </c>
      <c r="V551" s="170">
        <f t="shared" si="127"/>
        <v>1</v>
      </c>
    </row>
    <row r="552">
      <c r="A552" s="149">
        <v>5330000.0</v>
      </c>
      <c r="B552" s="150" t="s">
        <v>1868</v>
      </c>
      <c r="C552" s="151">
        <v>3.0</v>
      </c>
      <c r="D552" s="218"/>
      <c r="E552" s="153"/>
      <c r="F552" s="153"/>
      <c r="G552" s="153"/>
      <c r="H552" s="153"/>
      <c r="I552" s="154"/>
      <c r="J552" s="153"/>
      <c r="K552" s="153"/>
      <c r="L552" s="153"/>
      <c r="M552" s="153"/>
      <c r="N552" s="153"/>
      <c r="O552" s="155"/>
      <c r="P552" s="152"/>
      <c r="Q552" s="153"/>
      <c r="R552" s="153"/>
      <c r="S552" s="153"/>
      <c r="T552" s="154"/>
    </row>
    <row r="553">
      <c r="A553" s="163">
        <v>5330001.0</v>
      </c>
      <c r="B553" s="164" t="s">
        <v>1310</v>
      </c>
      <c r="C553" s="165">
        <v>7.0</v>
      </c>
      <c r="D553" s="166">
        <v>1.0</v>
      </c>
      <c r="E553" s="167">
        <v>1.0</v>
      </c>
      <c r="F553" s="167">
        <v>1.0</v>
      </c>
      <c r="G553" s="167">
        <v>1.0</v>
      </c>
      <c r="H553" s="167">
        <v>1.0</v>
      </c>
      <c r="I553" s="168">
        <v>1.0</v>
      </c>
      <c r="J553" s="167">
        <v>1.0</v>
      </c>
      <c r="K553" s="167">
        <v>1.0</v>
      </c>
      <c r="L553" s="167">
        <v>1.0</v>
      </c>
      <c r="M553" s="167">
        <v>1.0</v>
      </c>
      <c r="N553" s="167">
        <v>1.0</v>
      </c>
      <c r="O553" s="169">
        <v>1.0</v>
      </c>
      <c r="P553" s="166">
        <v>1.0</v>
      </c>
      <c r="Q553" s="167">
        <v>1.0</v>
      </c>
      <c r="R553" s="167">
        <v>1.0</v>
      </c>
      <c r="S553" s="167">
        <v>1.0</v>
      </c>
      <c r="T553" s="168">
        <v>1.0</v>
      </c>
      <c r="U553" s="170">
        <f t="shared" ref="U553:U555" si="128">if(I553+O553&gt;0,1,"")</f>
        <v>1</v>
      </c>
      <c r="V553" s="170">
        <f t="shared" ref="V553:V555" si="129">if(T553&gt;0,1,"")</f>
        <v>1</v>
      </c>
    </row>
    <row r="554">
      <c r="A554" s="163">
        <v>5330003.0</v>
      </c>
      <c r="B554" s="164" t="s">
        <v>1315</v>
      </c>
      <c r="C554" s="165">
        <v>7.0</v>
      </c>
      <c r="D554" s="166">
        <v>1.0</v>
      </c>
      <c r="E554" s="167">
        <v>1.0</v>
      </c>
      <c r="F554" s="167">
        <v>1.0</v>
      </c>
      <c r="G554" s="167">
        <v>1.0</v>
      </c>
      <c r="H554" s="167">
        <v>1.0</v>
      </c>
      <c r="I554" s="168">
        <v>1.0</v>
      </c>
      <c r="J554" s="178"/>
      <c r="K554" s="167">
        <v>1.0</v>
      </c>
      <c r="L554" s="167">
        <v>1.0</v>
      </c>
      <c r="M554" s="167">
        <v>1.0</v>
      </c>
      <c r="N554" s="167">
        <v>1.0</v>
      </c>
      <c r="O554" s="169">
        <v>1.0</v>
      </c>
      <c r="P554" s="166">
        <v>1.0</v>
      </c>
      <c r="Q554" s="167">
        <v>1.0</v>
      </c>
      <c r="R554" s="167">
        <v>1.0</v>
      </c>
      <c r="S554" s="167">
        <v>1.0</v>
      </c>
      <c r="T554" s="168">
        <v>1.0</v>
      </c>
      <c r="U554" s="170">
        <f t="shared" si="128"/>
        <v>1</v>
      </c>
      <c r="V554" s="170">
        <f t="shared" si="129"/>
        <v>1</v>
      </c>
    </row>
    <row r="555">
      <c r="A555" s="163">
        <v>5330004.0</v>
      </c>
      <c r="B555" s="164" t="s">
        <v>1869</v>
      </c>
      <c r="C555" s="165">
        <v>7.0</v>
      </c>
      <c r="D555" s="166">
        <v>1.0</v>
      </c>
      <c r="E555" s="167">
        <v>1.0</v>
      </c>
      <c r="F555" s="167">
        <v>1.0</v>
      </c>
      <c r="G555" s="167">
        <v>1.0</v>
      </c>
      <c r="H555" s="167">
        <v>1.0</v>
      </c>
      <c r="I555" s="168">
        <v>1.0</v>
      </c>
      <c r="J555" s="167">
        <v>1.0</v>
      </c>
      <c r="K555" s="167">
        <v>1.0</v>
      </c>
      <c r="L555" s="167">
        <v>1.0</v>
      </c>
      <c r="M555" s="167">
        <v>1.0</v>
      </c>
      <c r="N555" s="167">
        <v>1.0</v>
      </c>
      <c r="O555" s="169">
        <v>1.0</v>
      </c>
      <c r="P555" s="166">
        <v>1.0</v>
      </c>
      <c r="Q555" s="167">
        <v>1.0</v>
      </c>
      <c r="R555" s="167">
        <v>1.0</v>
      </c>
      <c r="S555" s="167">
        <v>1.0</v>
      </c>
      <c r="T555" s="168">
        <v>1.0</v>
      </c>
      <c r="U555" s="170">
        <f t="shared" si="128"/>
        <v>1</v>
      </c>
      <c r="V555" s="170">
        <f t="shared" si="129"/>
        <v>1</v>
      </c>
    </row>
    <row r="556">
      <c r="A556" s="142">
        <v>5400000.0</v>
      </c>
      <c r="B556" s="143" t="s">
        <v>1870</v>
      </c>
      <c r="C556" s="144">
        <v>2.0</v>
      </c>
      <c r="D556" s="145"/>
      <c r="E556" s="146"/>
      <c r="F556" s="146"/>
      <c r="G556" s="146"/>
      <c r="H556" s="146"/>
      <c r="I556" s="147"/>
      <c r="J556" s="146"/>
      <c r="K556" s="146"/>
      <c r="L556" s="146"/>
      <c r="M556" s="146"/>
      <c r="N556" s="146"/>
      <c r="O556" s="148"/>
      <c r="P556" s="145"/>
      <c r="Q556" s="146"/>
      <c r="R556" s="146"/>
      <c r="S556" s="146"/>
      <c r="T556" s="147"/>
    </row>
    <row r="557">
      <c r="A557" s="149">
        <v>5410000.0</v>
      </c>
      <c r="B557" s="150" t="s">
        <v>1871</v>
      </c>
      <c r="C557" s="151">
        <v>3.0</v>
      </c>
      <c r="D557" s="218"/>
      <c r="E557" s="153"/>
      <c r="F557" s="153"/>
      <c r="G557" s="153"/>
      <c r="H557" s="153"/>
      <c r="I557" s="154"/>
      <c r="J557" s="153"/>
      <c r="K557" s="153"/>
      <c r="L557" s="153"/>
      <c r="M557" s="153"/>
      <c r="N557" s="153"/>
      <c r="O557" s="155"/>
      <c r="P557" s="152"/>
      <c r="Q557" s="153"/>
      <c r="R557" s="153"/>
      <c r="S557" s="153"/>
      <c r="T557" s="154"/>
    </row>
    <row r="558">
      <c r="A558" s="163">
        <v>5410002.0</v>
      </c>
      <c r="B558" s="164" t="s">
        <v>1321</v>
      </c>
      <c r="C558" s="165">
        <v>7.0</v>
      </c>
      <c r="D558" s="166">
        <v>1.0</v>
      </c>
      <c r="E558" s="167">
        <v>1.0</v>
      </c>
      <c r="F558" s="167">
        <v>1.0</v>
      </c>
      <c r="G558" s="167">
        <v>1.0</v>
      </c>
      <c r="H558" s="167">
        <v>1.0</v>
      </c>
      <c r="I558" s="168">
        <v>1.0</v>
      </c>
      <c r="J558" s="167">
        <v>1.0</v>
      </c>
      <c r="K558" s="167">
        <v>1.0</v>
      </c>
      <c r="L558" s="167">
        <v>1.0</v>
      </c>
      <c r="M558" s="167">
        <v>1.0</v>
      </c>
      <c r="N558" s="167">
        <v>1.0</v>
      </c>
      <c r="O558" s="169">
        <v>1.0</v>
      </c>
      <c r="P558" s="166">
        <v>1.0</v>
      </c>
      <c r="Q558" s="167">
        <v>1.0</v>
      </c>
      <c r="R558" s="167">
        <v>1.0</v>
      </c>
      <c r="S558" s="167">
        <v>1.0</v>
      </c>
      <c r="T558" s="168">
        <v>1.0</v>
      </c>
      <c r="U558" s="170">
        <f t="shared" ref="U558:U560" si="130">if(I558+O558&gt;0,1,"")</f>
        <v>1</v>
      </c>
      <c r="V558" s="170">
        <f t="shared" ref="V558:V560" si="131">if(T558&gt;0,1,"")</f>
        <v>1</v>
      </c>
    </row>
    <row r="559">
      <c r="A559" s="163">
        <v>5410003.0</v>
      </c>
      <c r="B559" s="164" t="s">
        <v>1324</v>
      </c>
      <c r="C559" s="165">
        <v>7.0</v>
      </c>
      <c r="D559" s="166">
        <v>1.0</v>
      </c>
      <c r="E559" s="167">
        <v>1.0</v>
      </c>
      <c r="F559" s="167">
        <v>1.0</v>
      </c>
      <c r="G559" s="167">
        <v>1.0</v>
      </c>
      <c r="H559" s="167">
        <v>1.0</v>
      </c>
      <c r="I559" s="168">
        <v>1.0</v>
      </c>
      <c r="J559" s="167">
        <v>1.0</v>
      </c>
      <c r="K559" s="167">
        <v>1.0</v>
      </c>
      <c r="L559" s="167">
        <v>1.0</v>
      </c>
      <c r="M559" s="167">
        <v>1.0</v>
      </c>
      <c r="N559" s="167">
        <v>1.0</v>
      </c>
      <c r="O559" s="169">
        <v>1.0</v>
      </c>
      <c r="P559" s="166">
        <v>1.0</v>
      </c>
      <c r="Q559" s="167">
        <v>1.0</v>
      </c>
      <c r="R559" s="167">
        <v>1.0</v>
      </c>
      <c r="S559" s="167">
        <v>1.0</v>
      </c>
      <c r="T559" s="168">
        <v>1.0</v>
      </c>
      <c r="U559" s="170">
        <f t="shared" si="130"/>
        <v>1</v>
      </c>
      <c r="V559" s="170">
        <f t="shared" si="131"/>
        <v>1</v>
      </c>
    </row>
    <row r="560">
      <c r="A560" s="163">
        <v>5410006.0</v>
      </c>
      <c r="B560" s="164" t="s">
        <v>1330</v>
      </c>
      <c r="C560" s="165">
        <v>7.0</v>
      </c>
      <c r="D560" s="166">
        <v>1.0</v>
      </c>
      <c r="E560" s="167">
        <v>1.0</v>
      </c>
      <c r="F560" s="167">
        <v>1.0</v>
      </c>
      <c r="G560" s="167">
        <v>1.0</v>
      </c>
      <c r="H560" s="167">
        <v>1.0</v>
      </c>
      <c r="I560" s="168">
        <v>1.0</v>
      </c>
      <c r="J560" s="167">
        <v>1.0</v>
      </c>
      <c r="K560" s="167">
        <v>1.0</v>
      </c>
      <c r="L560" s="167">
        <v>1.0</v>
      </c>
      <c r="M560" s="167">
        <v>1.0</v>
      </c>
      <c r="N560" s="167">
        <v>1.0</v>
      </c>
      <c r="O560" s="169">
        <v>1.0</v>
      </c>
      <c r="P560" s="166">
        <v>1.0</v>
      </c>
      <c r="Q560" s="167">
        <v>1.0</v>
      </c>
      <c r="R560" s="167">
        <v>1.0</v>
      </c>
      <c r="S560" s="167">
        <v>1.0</v>
      </c>
      <c r="T560" s="168">
        <v>1.0</v>
      </c>
      <c r="U560" s="170">
        <f t="shared" si="130"/>
        <v>1</v>
      </c>
      <c r="V560" s="170">
        <f t="shared" si="131"/>
        <v>1</v>
      </c>
    </row>
    <row r="561">
      <c r="A561" s="149">
        <v>5420000.0</v>
      </c>
      <c r="B561" s="150" t="s">
        <v>1872</v>
      </c>
      <c r="C561" s="151">
        <v>3.0</v>
      </c>
      <c r="D561" s="218"/>
      <c r="E561" s="153"/>
      <c r="F561" s="153"/>
      <c r="G561" s="153"/>
      <c r="H561" s="153"/>
      <c r="I561" s="154"/>
      <c r="J561" s="153"/>
      <c r="K561" s="153"/>
      <c r="L561" s="153"/>
      <c r="M561" s="153"/>
      <c r="N561" s="153"/>
      <c r="O561" s="155"/>
      <c r="P561" s="152"/>
      <c r="Q561" s="153"/>
      <c r="R561" s="153"/>
      <c r="S561" s="153"/>
      <c r="T561" s="154"/>
    </row>
    <row r="562">
      <c r="A562" s="163">
        <v>5420002.0</v>
      </c>
      <c r="B562" s="164" t="s">
        <v>1337</v>
      </c>
      <c r="C562" s="165">
        <v>7.0</v>
      </c>
      <c r="D562" s="166">
        <v>1.0</v>
      </c>
      <c r="E562" s="167">
        <v>1.0</v>
      </c>
      <c r="F562" s="167">
        <v>1.0</v>
      </c>
      <c r="G562" s="167">
        <v>1.0</v>
      </c>
      <c r="H562" s="167">
        <v>1.0</v>
      </c>
      <c r="I562" s="168">
        <v>1.0</v>
      </c>
      <c r="J562" s="167">
        <v>1.0</v>
      </c>
      <c r="K562" s="167">
        <v>1.0</v>
      </c>
      <c r="L562" s="167">
        <v>1.0</v>
      </c>
      <c r="M562" s="167">
        <v>1.0</v>
      </c>
      <c r="N562" s="167">
        <v>1.0</v>
      </c>
      <c r="O562" s="169">
        <v>1.0</v>
      </c>
      <c r="P562" s="166">
        <v>1.0</v>
      </c>
      <c r="Q562" s="167">
        <v>1.0</v>
      </c>
      <c r="R562" s="167">
        <v>1.0</v>
      </c>
      <c r="S562" s="167">
        <v>1.0</v>
      </c>
      <c r="T562" s="168">
        <v>1.0</v>
      </c>
      <c r="U562" s="170">
        <f t="shared" ref="U562:U565" si="132">if(I562+O562&gt;0,1,"")</f>
        <v>1</v>
      </c>
      <c r="V562" s="170">
        <f t="shared" ref="V562:V565" si="133">if(T562&gt;0,1,"")</f>
        <v>1</v>
      </c>
    </row>
    <row r="563">
      <c r="A563" s="163">
        <v>5420006.0</v>
      </c>
      <c r="B563" s="164" t="s">
        <v>1345</v>
      </c>
      <c r="C563" s="165">
        <v>7.0</v>
      </c>
      <c r="D563" s="166">
        <v>1.0</v>
      </c>
      <c r="E563" s="167">
        <v>1.0</v>
      </c>
      <c r="F563" s="167">
        <v>1.0</v>
      </c>
      <c r="G563" s="167">
        <v>1.0</v>
      </c>
      <c r="H563" s="167">
        <v>1.0</v>
      </c>
      <c r="I563" s="168">
        <v>1.0</v>
      </c>
      <c r="J563" s="167">
        <v>1.0</v>
      </c>
      <c r="K563" s="167">
        <v>1.0</v>
      </c>
      <c r="L563" s="167">
        <v>1.0</v>
      </c>
      <c r="M563" s="167">
        <v>1.0</v>
      </c>
      <c r="N563" s="167">
        <v>1.0</v>
      </c>
      <c r="O563" s="169">
        <v>1.0</v>
      </c>
      <c r="P563" s="166">
        <v>1.0</v>
      </c>
      <c r="Q563" s="167">
        <v>1.0</v>
      </c>
      <c r="R563" s="167">
        <v>1.0</v>
      </c>
      <c r="S563" s="167">
        <v>1.0</v>
      </c>
      <c r="T563" s="168">
        <v>1.0</v>
      </c>
      <c r="U563" s="170">
        <f t="shared" si="132"/>
        <v>1</v>
      </c>
      <c r="V563" s="170">
        <f t="shared" si="133"/>
        <v>1</v>
      </c>
    </row>
    <row r="564">
      <c r="A564" s="163">
        <v>5420007.0</v>
      </c>
      <c r="B564" s="164" t="s">
        <v>1347</v>
      </c>
      <c r="C564" s="165">
        <v>7.0</v>
      </c>
      <c r="D564" s="166">
        <v>1.0</v>
      </c>
      <c r="E564" s="167">
        <v>1.0</v>
      </c>
      <c r="F564" s="167">
        <v>1.0</v>
      </c>
      <c r="G564" s="167">
        <v>1.0</v>
      </c>
      <c r="H564" s="167">
        <v>1.0</v>
      </c>
      <c r="I564" s="168">
        <v>1.0</v>
      </c>
      <c r="J564" s="167">
        <v>1.0</v>
      </c>
      <c r="K564" s="167">
        <v>1.0</v>
      </c>
      <c r="L564" s="167">
        <v>1.0</v>
      </c>
      <c r="M564" s="167">
        <v>1.0</v>
      </c>
      <c r="N564" s="167">
        <v>1.0</v>
      </c>
      <c r="O564" s="169">
        <v>1.0</v>
      </c>
      <c r="P564" s="166">
        <v>1.0</v>
      </c>
      <c r="Q564" s="167">
        <v>1.0</v>
      </c>
      <c r="R564" s="167">
        <v>1.0</v>
      </c>
      <c r="S564" s="167">
        <v>1.0</v>
      </c>
      <c r="T564" s="168">
        <v>1.0</v>
      </c>
      <c r="U564" s="170">
        <f t="shared" si="132"/>
        <v>1</v>
      </c>
      <c r="V564" s="170">
        <f t="shared" si="133"/>
        <v>1</v>
      </c>
    </row>
    <row r="565">
      <c r="A565" s="163">
        <v>5420008.0</v>
      </c>
      <c r="B565" s="164" t="s">
        <v>1349</v>
      </c>
      <c r="C565" s="165">
        <v>7.0</v>
      </c>
      <c r="D565" s="166">
        <v>1.0</v>
      </c>
      <c r="E565" s="167">
        <v>1.0</v>
      </c>
      <c r="F565" s="167">
        <v>1.0</v>
      </c>
      <c r="G565" s="167">
        <v>1.0</v>
      </c>
      <c r="H565" s="167">
        <v>1.0</v>
      </c>
      <c r="I565" s="168">
        <v>1.0</v>
      </c>
      <c r="J565" s="178"/>
      <c r="K565" s="178"/>
      <c r="L565" s="178"/>
      <c r="M565" s="178"/>
      <c r="N565" s="178"/>
      <c r="O565" s="179"/>
      <c r="P565" s="180"/>
      <c r="Q565" s="178"/>
      <c r="R565" s="178"/>
      <c r="S565" s="178"/>
      <c r="T565" s="181"/>
      <c r="U565" s="170">
        <f t="shared" si="132"/>
        <v>1</v>
      </c>
      <c r="V565" s="170" t="str">
        <f t="shared" si="133"/>
        <v/>
      </c>
    </row>
    <row r="566">
      <c r="A566" s="136">
        <v>6000000.0</v>
      </c>
      <c r="B566" s="137" t="s">
        <v>1873</v>
      </c>
      <c r="C566" s="131">
        <v>1.0</v>
      </c>
      <c r="D566" s="138"/>
      <c r="E566" s="139"/>
      <c r="F566" s="139"/>
      <c r="G566" s="139"/>
      <c r="H566" s="139"/>
      <c r="I566" s="140"/>
      <c r="J566" s="139"/>
      <c r="K566" s="139"/>
      <c r="L566" s="139"/>
      <c r="M566" s="139"/>
      <c r="N566" s="139"/>
      <c r="O566" s="141"/>
      <c r="P566" s="138"/>
      <c r="Q566" s="139"/>
      <c r="R566" s="139"/>
      <c r="S566" s="139"/>
      <c r="T566" s="140"/>
    </row>
    <row r="567">
      <c r="A567" s="142">
        <v>6100000.0</v>
      </c>
      <c r="B567" s="143" t="s">
        <v>1874</v>
      </c>
      <c r="C567" s="144">
        <v>2.0</v>
      </c>
      <c r="D567" s="145"/>
      <c r="E567" s="146"/>
      <c r="F567" s="146"/>
      <c r="G567" s="146"/>
      <c r="H567" s="146"/>
      <c r="I567" s="147"/>
      <c r="J567" s="146"/>
      <c r="K567" s="146"/>
      <c r="L567" s="146"/>
      <c r="M567" s="146"/>
      <c r="N567" s="146"/>
      <c r="O567" s="148"/>
      <c r="P567" s="145"/>
      <c r="Q567" s="146"/>
      <c r="R567" s="146"/>
      <c r="S567" s="146"/>
      <c r="T567" s="147"/>
    </row>
    <row r="568">
      <c r="A568" s="149">
        <v>6110000.0</v>
      </c>
      <c r="B568" s="150" t="s">
        <v>1875</v>
      </c>
      <c r="C568" s="151">
        <v>3.0</v>
      </c>
      <c r="D568" s="218"/>
      <c r="E568" s="153"/>
      <c r="F568" s="153"/>
      <c r="G568" s="153"/>
      <c r="H568" s="153"/>
      <c r="I568" s="154"/>
      <c r="J568" s="153"/>
      <c r="K568" s="153"/>
      <c r="L568" s="153"/>
      <c r="M568" s="153"/>
      <c r="N568" s="153"/>
      <c r="O568" s="155"/>
      <c r="P568" s="152"/>
      <c r="Q568" s="153"/>
      <c r="R568" s="153"/>
      <c r="S568" s="153"/>
      <c r="T568" s="154"/>
    </row>
    <row r="569">
      <c r="A569" s="163">
        <v>6110001.0</v>
      </c>
      <c r="B569" s="164" t="s">
        <v>1351</v>
      </c>
      <c r="C569" s="165">
        <v>7.0</v>
      </c>
      <c r="D569" s="166">
        <v>1.0</v>
      </c>
      <c r="E569" s="167">
        <v>1.0</v>
      </c>
      <c r="F569" s="167">
        <v>1.0</v>
      </c>
      <c r="G569" s="167">
        <v>1.0</v>
      </c>
      <c r="H569" s="167">
        <v>1.0</v>
      </c>
      <c r="I569" s="168">
        <v>1.0</v>
      </c>
      <c r="J569" s="167">
        <v>1.0</v>
      </c>
      <c r="K569" s="167">
        <v>1.0</v>
      </c>
      <c r="L569" s="167">
        <v>1.0</v>
      </c>
      <c r="M569" s="167">
        <v>1.0</v>
      </c>
      <c r="N569" s="167">
        <v>1.0</v>
      </c>
      <c r="O569" s="169">
        <v>1.0</v>
      </c>
      <c r="P569" s="166">
        <v>1.0</v>
      </c>
      <c r="Q569" s="167">
        <v>1.0</v>
      </c>
      <c r="R569" s="167">
        <v>1.0</v>
      </c>
      <c r="S569" s="167">
        <v>1.0</v>
      </c>
      <c r="T569" s="168">
        <v>1.0</v>
      </c>
      <c r="U569" s="170">
        <f t="shared" ref="U569:U571" si="134">if(I569+O569&gt;0,1,"")</f>
        <v>1</v>
      </c>
      <c r="V569" s="170">
        <f t="shared" ref="V569:V571" si="135">if(T569&gt;0,1,"")</f>
        <v>1</v>
      </c>
    </row>
    <row r="570">
      <c r="A570" s="163">
        <v>6110002.0</v>
      </c>
      <c r="B570" s="164" t="s">
        <v>1353</v>
      </c>
      <c r="C570" s="165">
        <v>7.0</v>
      </c>
      <c r="D570" s="166">
        <v>1.0</v>
      </c>
      <c r="E570" s="167">
        <v>1.0</v>
      </c>
      <c r="F570" s="178"/>
      <c r="G570" s="167">
        <v>1.0</v>
      </c>
      <c r="H570" s="167">
        <v>1.0</v>
      </c>
      <c r="I570" s="168">
        <v>1.0</v>
      </c>
      <c r="J570" s="178"/>
      <c r="K570" s="178"/>
      <c r="L570" s="178"/>
      <c r="M570" s="178"/>
      <c r="N570" s="178"/>
      <c r="O570" s="179"/>
      <c r="P570" s="180"/>
      <c r="Q570" s="178"/>
      <c r="R570" s="178"/>
      <c r="S570" s="178"/>
      <c r="T570" s="181"/>
      <c r="U570" s="170">
        <f t="shared" si="134"/>
        <v>1</v>
      </c>
      <c r="V570" s="170" t="str">
        <f t="shared" si="135"/>
        <v/>
      </c>
    </row>
    <row r="571">
      <c r="A571" s="163">
        <v>6110007.0</v>
      </c>
      <c r="B571" s="164" t="s">
        <v>1363</v>
      </c>
      <c r="C571" s="165">
        <v>7.0</v>
      </c>
      <c r="D571" s="166">
        <v>1.0</v>
      </c>
      <c r="E571" s="167">
        <v>1.0</v>
      </c>
      <c r="F571" s="167">
        <v>1.0</v>
      </c>
      <c r="G571" s="178"/>
      <c r="H571" s="178"/>
      <c r="I571" s="168">
        <v>1.0</v>
      </c>
      <c r="J571" s="178"/>
      <c r="K571" s="178"/>
      <c r="L571" s="178"/>
      <c r="M571" s="178"/>
      <c r="N571" s="178"/>
      <c r="O571" s="179"/>
      <c r="P571" s="166">
        <v>1.0</v>
      </c>
      <c r="Q571" s="167">
        <v>1.0</v>
      </c>
      <c r="R571" s="167">
        <v>1.0</v>
      </c>
      <c r="S571" s="167">
        <v>1.0</v>
      </c>
      <c r="T571" s="168">
        <v>1.0</v>
      </c>
      <c r="U571" s="170">
        <f t="shared" si="134"/>
        <v>1</v>
      </c>
      <c r="V571" s="170">
        <f t="shared" si="135"/>
        <v>1</v>
      </c>
    </row>
    <row r="572">
      <c r="A572" s="149">
        <v>6120000.0</v>
      </c>
      <c r="B572" s="150" t="s">
        <v>1876</v>
      </c>
      <c r="C572" s="151">
        <v>3.0</v>
      </c>
      <c r="D572" s="152"/>
      <c r="E572" s="153"/>
      <c r="F572" s="153"/>
      <c r="G572" s="153"/>
      <c r="H572" s="153"/>
      <c r="I572" s="154"/>
      <c r="J572" s="153"/>
      <c r="K572" s="153"/>
      <c r="L572" s="153"/>
      <c r="M572" s="153"/>
      <c r="N572" s="153"/>
      <c r="O572" s="155"/>
      <c r="P572" s="152"/>
      <c r="Q572" s="153"/>
      <c r="R572" s="153"/>
      <c r="S572" s="153"/>
      <c r="T572" s="154"/>
    </row>
    <row r="573">
      <c r="A573" s="156">
        <v>6122000.0</v>
      </c>
      <c r="B573" s="157" t="s">
        <v>1877</v>
      </c>
      <c r="C573" s="158">
        <v>4.0</v>
      </c>
      <c r="D573" s="220"/>
      <c r="E573" s="160"/>
      <c r="F573" s="160"/>
      <c r="G573" s="160"/>
      <c r="H573" s="160"/>
      <c r="I573" s="161"/>
      <c r="J573" s="160"/>
      <c r="K573" s="160"/>
      <c r="L573" s="160"/>
      <c r="M573" s="160"/>
      <c r="N573" s="160"/>
      <c r="O573" s="162"/>
      <c r="P573" s="159"/>
      <c r="Q573" s="160"/>
      <c r="R573" s="160"/>
      <c r="S573" s="160"/>
      <c r="T573" s="161"/>
    </row>
    <row r="574">
      <c r="A574" s="163">
        <v>6122001.0</v>
      </c>
      <c r="B574" s="164" t="s">
        <v>1367</v>
      </c>
      <c r="C574" s="165">
        <v>7.0</v>
      </c>
      <c r="D574" s="166">
        <v>1.0</v>
      </c>
      <c r="E574" s="167">
        <v>1.0</v>
      </c>
      <c r="F574" s="167">
        <v>1.0</v>
      </c>
      <c r="G574" s="167">
        <v>1.0</v>
      </c>
      <c r="H574" s="167">
        <v>1.0</v>
      </c>
      <c r="I574" s="168">
        <v>1.0</v>
      </c>
      <c r="J574" s="167">
        <v>1.0</v>
      </c>
      <c r="K574" s="167">
        <v>1.0</v>
      </c>
      <c r="L574" s="167">
        <v>1.0</v>
      </c>
      <c r="M574" s="167">
        <v>1.0</v>
      </c>
      <c r="N574" s="167">
        <v>1.0</v>
      </c>
      <c r="O574" s="169">
        <v>1.0</v>
      </c>
      <c r="P574" s="166">
        <v>1.0</v>
      </c>
      <c r="Q574" s="167">
        <v>1.0</v>
      </c>
      <c r="R574" s="167">
        <v>1.0</v>
      </c>
      <c r="S574" s="167">
        <v>1.0</v>
      </c>
      <c r="T574" s="168">
        <v>1.0</v>
      </c>
      <c r="U574" s="170">
        <f>if(I574+O574&gt;0,1,"")</f>
        <v>1</v>
      </c>
      <c r="V574" s="170">
        <f>if(T574&gt;0,1,"")</f>
        <v>1</v>
      </c>
    </row>
    <row r="575">
      <c r="A575" s="156">
        <v>6124000.0</v>
      </c>
      <c r="B575" s="157" t="s">
        <v>1878</v>
      </c>
      <c r="C575" s="158">
        <v>4.0</v>
      </c>
      <c r="D575" s="220"/>
      <c r="E575" s="160"/>
      <c r="F575" s="160"/>
      <c r="G575" s="160"/>
      <c r="H575" s="160"/>
      <c r="I575" s="161"/>
      <c r="J575" s="160"/>
      <c r="K575" s="160"/>
      <c r="L575" s="160"/>
      <c r="M575" s="160"/>
      <c r="N575" s="160"/>
      <c r="O575" s="162"/>
      <c r="P575" s="159"/>
      <c r="Q575" s="160"/>
      <c r="R575" s="160"/>
      <c r="S575" s="160"/>
      <c r="T575" s="161"/>
    </row>
    <row r="576">
      <c r="A576" s="163">
        <v>6124006.0</v>
      </c>
      <c r="B576" s="164" t="s">
        <v>1387</v>
      </c>
      <c r="C576" s="165">
        <v>7.0</v>
      </c>
      <c r="D576" s="166">
        <v>1.0</v>
      </c>
      <c r="E576" s="167">
        <v>1.0</v>
      </c>
      <c r="F576" s="167">
        <v>1.0</v>
      </c>
      <c r="G576" s="167">
        <v>1.0</v>
      </c>
      <c r="H576" s="167">
        <v>1.0</v>
      </c>
      <c r="I576" s="168">
        <v>1.0</v>
      </c>
      <c r="J576" s="167">
        <v>1.0</v>
      </c>
      <c r="K576" s="167">
        <v>1.0</v>
      </c>
      <c r="L576" s="167">
        <v>1.0</v>
      </c>
      <c r="M576" s="167">
        <v>1.0</v>
      </c>
      <c r="N576" s="167">
        <v>1.0</v>
      </c>
      <c r="O576" s="169">
        <v>1.0</v>
      </c>
      <c r="P576" s="166">
        <v>1.0</v>
      </c>
      <c r="Q576" s="167">
        <v>1.0</v>
      </c>
      <c r="R576" s="167">
        <v>1.0</v>
      </c>
      <c r="S576" s="167">
        <v>1.0</v>
      </c>
      <c r="T576" s="168">
        <v>1.0</v>
      </c>
      <c r="U576" s="170">
        <f>if(I576+O576&gt;0,1,"")</f>
        <v>1</v>
      </c>
      <c r="V576" s="170">
        <f>if(T576&gt;0,1,"")</f>
        <v>1</v>
      </c>
    </row>
    <row r="577">
      <c r="A577" s="156">
        <v>6125000.0</v>
      </c>
      <c r="B577" s="157" t="s">
        <v>1879</v>
      </c>
      <c r="C577" s="158">
        <v>4.0</v>
      </c>
      <c r="D577" s="220"/>
      <c r="E577" s="160"/>
      <c r="F577" s="160"/>
      <c r="G577" s="160"/>
      <c r="H577" s="160"/>
      <c r="I577" s="161"/>
      <c r="J577" s="160"/>
      <c r="K577" s="160"/>
      <c r="L577" s="160"/>
      <c r="M577" s="160"/>
      <c r="N577" s="160"/>
      <c r="O577" s="162"/>
      <c r="P577" s="159"/>
      <c r="Q577" s="160"/>
      <c r="R577" s="160"/>
      <c r="S577" s="160"/>
      <c r="T577" s="161"/>
    </row>
    <row r="578">
      <c r="A578" s="163">
        <v>6125001.0</v>
      </c>
      <c r="B578" s="164" t="s">
        <v>1389</v>
      </c>
      <c r="C578" s="165">
        <v>7.0</v>
      </c>
      <c r="D578" s="166">
        <v>1.0</v>
      </c>
      <c r="E578" s="167">
        <v>1.0</v>
      </c>
      <c r="F578" s="167">
        <v>1.0</v>
      </c>
      <c r="G578" s="167">
        <v>1.0</v>
      </c>
      <c r="H578" s="167">
        <v>1.0</v>
      </c>
      <c r="I578" s="168">
        <v>1.0</v>
      </c>
      <c r="J578" s="167">
        <v>1.0</v>
      </c>
      <c r="K578" s="167">
        <v>1.0</v>
      </c>
      <c r="L578" s="167">
        <v>1.0</v>
      </c>
      <c r="M578" s="167">
        <v>1.0</v>
      </c>
      <c r="N578" s="167">
        <v>1.0</v>
      </c>
      <c r="O578" s="169">
        <v>1.0</v>
      </c>
      <c r="P578" s="166">
        <v>1.0</v>
      </c>
      <c r="Q578" s="167">
        <v>1.0</v>
      </c>
      <c r="R578" s="167">
        <v>1.0</v>
      </c>
      <c r="S578" s="167">
        <v>1.0</v>
      </c>
      <c r="T578" s="168">
        <v>1.0</v>
      </c>
      <c r="U578" s="170">
        <f t="shared" ref="U578:U580" si="136">if(I578+O578&gt;0,1,"")</f>
        <v>1</v>
      </c>
      <c r="V578" s="170">
        <f t="shared" ref="V578:V580" si="137">if(T578&gt;0,1,"")</f>
        <v>1</v>
      </c>
    </row>
    <row r="579">
      <c r="A579" s="163">
        <v>6125003.0</v>
      </c>
      <c r="B579" s="164" t="s">
        <v>1394</v>
      </c>
      <c r="C579" s="165">
        <v>7.0</v>
      </c>
      <c r="D579" s="166">
        <v>1.0</v>
      </c>
      <c r="E579" s="167">
        <v>1.0</v>
      </c>
      <c r="F579" s="167">
        <v>1.0</v>
      </c>
      <c r="G579" s="167">
        <v>1.0</v>
      </c>
      <c r="H579" s="167">
        <v>1.0</v>
      </c>
      <c r="I579" s="168">
        <v>1.0</v>
      </c>
      <c r="J579" s="167">
        <v>1.0</v>
      </c>
      <c r="K579" s="167">
        <v>1.0</v>
      </c>
      <c r="L579" s="178"/>
      <c r="M579" s="167">
        <v>1.0</v>
      </c>
      <c r="N579" s="178"/>
      <c r="O579" s="169">
        <v>1.0</v>
      </c>
      <c r="P579" s="180"/>
      <c r="Q579" s="178"/>
      <c r="R579" s="178"/>
      <c r="S579" s="178"/>
      <c r="T579" s="181"/>
      <c r="U579" s="170">
        <f t="shared" si="136"/>
        <v>1</v>
      </c>
      <c r="V579" s="170" t="str">
        <f t="shared" si="137"/>
        <v/>
      </c>
    </row>
    <row r="580">
      <c r="A580" s="163">
        <v>6125004.0</v>
      </c>
      <c r="B580" s="164" t="s">
        <v>1396</v>
      </c>
      <c r="C580" s="165">
        <v>7.0</v>
      </c>
      <c r="D580" s="166">
        <v>1.0</v>
      </c>
      <c r="E580" s="167">
        <v>1.0</v>
      </c>
      <c r="F580" s="167">
        <v>1.0</v>
      </c>
      <c r="G580" s="167">
        <v>1.0</v>
      </c>
      <c r="H580" s="167">
        <v>1.0</v>
      </c>
      <c r="I580" s="168">
        <v>1.0</v>
      </c>
      <c r="J580" s="178"/>
      <c r="K580" s="178"/>
      <c r="L580" s="178"/>
      <c r="M580" s="178"/>
      <c r="N580" s="178"/>
      <c r="O580" s="179"/>
      <c r="P580" s="166">
        <v>1.0</v>
      </c>
      <c r="Q580" s="178"/>
      <c r="R580" s="167">
        <v>1.0</v>
      </c>
      <c r="S580" s="167">
        <v>1.0</v>
      </c>
      <c r="T580" s="168">
        <v>1.0</v>
      </c>
      <c r="U580" s="170">
        <f t="shared" si="136"/>
        <v>1</v>
      </c>
      <c r="V580" s="170">
        <f t="shared" si="137"/>
        <v>1</v>
      </c>
    </row>
    <row r="581">
      <c r="A581" s="156">
        <v>6126000.0</v>
      </c>
      <c r="B581" s="157" t="s">
        <v>1880</v>
      </c>
      <c r="C581" s="158">
        <v>4.0</v>
      </c>
      <c r="D581" s="220"/>
      <c r="E581" s="160"/>
      <c r="F581" s="160"/>
      <c r="G581" s="160"/>
      <c r="H581" s="160"/>
      <c r="I581" s="161"/>
      <c r="J581" s="160"/>
      <c r="K581" s="160"/>
      <c r="L581" s="160"/>
      <c r="M581" s="160"/>
      <c r="N581" s="160"/>
      <c r="O581" s="162"/>
      <c r="P581" s="159"/>
      <c r="Q581" s="160"/>
      <c r="R581" s="160"/>
      <c r="S581" s="160"/>
      <c r="T581" s="161"/>
    </row>
    <row r="582">
      <c r="A582" s="163">
        <v>6126001.0</v>
      </c>
      <c r="B582" s="164" t="s">
        <v>1399</v>
      </c>
      <c r="C582" s="165">
        <v>7.0</v>
      </c>
      <c r="D582" s="166">
        <v>1.0</v>
      </c>
      <c r="E582" s="167">
        <v>1.0</v>
      </c>
      <c r="F582" s="167">
        <v>1.0</v>
      </c>
      <c r="G582" s="167">
        <v>1.0</v>
      </c>
      <c r="H582" s="167">
        <v>1.0</v>
      </c>
      <c r="I582" s="168">
        <v>1.0</v>
      </c>
      <c r="J582" s="167">
        <v>1.0</v>
      </c>
      <c r="K582" s="167">
        <v>1.0</v>
      </c>
      <c r="L582" s="167">
        <v>1.0</v>
      </c>
      <c r="M582" s="167">
        <v>1.0</v>
      </c>
      <c r="N582" s="167">
        <v>1.0</v>
      </c>
      <c r="O582" s="169">
        <v>1.0</v>
      </c>
      <c r="P582" s="166">
        <v>1.0</v>
      </c>
      <c r="Q582" s="167">
        <v>1.0</v>
      </c>
      <c r="R582" s="167">
        <v>1.0</v>
      </c>
      <c r="S582" s="167">
        <v>1.0</v>
      </c>
      <c r="T582" s="168">
        <v>1.0</v>
      </c>
      <c r="U582" s="170">
        <f>if(I582+O582&gt;0,1,"")</f>
        <v>1</v>
      </c>
      <c r="V582" s="170">
        <f>if(T582&gt;0,1,"")</f>
        <v>1</v>
      </c>
    </row>
    <row r="583">
      <c r="A583" s="149">
        <v>6130000.0</v>
      </c>
      <c r="B583" s="150" t="s">
        <v>1881</v>
      </c>
      <c r="C583" s="151">
        <v>3.0</v>
      </c>
      <c r="D583" s="218"/>
      <c r="E583" s="153"/>
      <c r="F583" s="153"/>
      <c r="G583" s="153"/>
      <c r="H583" s="153"/>
      <c r="I583" s="154"/>
      <c r="J583" s="153"/>
      <c r="K583" s="153"/>
      <c r="L583" s="153"/>
      <c r="M583" s="153"/>
      <c r="N583" s="153"/>
      <c r="O583" s="155"/>
      <c r="P583" s="152"/>
      <c r="Q583" s="153"/>
      <c r="R583" s="153"/>
      <c r="S583" s="153"/>
      <c r="T583" s="154"/>
    </row>
    <row r="584">
      <c r="A584" s="163">
        <v>6130002.0</v>
      </c>
      <c r="B584" s="164" t="s">
        <v>1403</v>
      </c>
      <c r="C584" s="165">
        <v>7.0</v>
      </c>
      <c r="D584" s="166">
        <v>1.0</v>
      </c>
      <c r="E584" s="167">
        <v>1.0</v>
      </c>
      <c r="F584" s="167">
        <v>1.0</v>
      </c>
      <c r="G584" s="167">
        <v>1.0</v>
      </c>
      <c r="H584" s="167">
        <v>1.0</v>
      </c>
      <c r="I584" s="168">
        <v>1.0</v>
      </c>
      <c r="J584" s="178"/>
      <c r="K584" s="167">
        <v>1.0</v>
      </c>
      <c r="L584" s="167">
        <v>1.0</v>
      </c>
      <c r="M584" s="167">
        <v>1.0</v>
      </c>
      <c r="N584" s="167">
        <v>1.0</v>
      </c>
      <c r="O584" s="169">
        <v>1.0</v>
      </c>
      <c r="P584" s="166">
        <v>1.0</v>
      </c>
      <c r="Q584" s="167">
        <v>1.0</v>
      </c>
      <c r="R584" s="167">
        <v>1.0</v>
      </c>
      <c r="S584" s="167">
        <v>1.0</v>
      </c>
      <c r="T584" s="168">
        <v>1.0</v>
      </c>
      <c r="U584" s="170">
        <f t="shared" ref="U584:U586" si="138">if(I584+O584&gt;0,1,"")</f>
        <v>1</v>
      </c>
      <c r="V584" s="170">
        <f t="shared" ref="V584:V586" si="139">if(T584&gt;0,1,"")</f>
        <v>1</v>
      </c>
    </row>
    <row r="585">
      <c r="A585" s="163">
        <v>6130007.0</v>
      </c>
      <c r="B585" s="164" t="s">
        <v>1413</v>
      </c>
      <c r="C585" s="165">
        <v>7.0</v>
      </c>
      <c r="D585" s="166">
        <v>1.0</v>
      </c>
      <c r="E585" s="167">
        <v>1.0</v>
      </c>
      <c r="F585" s="167">
        <v>1.0</v>
      </c>
      <c r="G585" s="167">
        <v>1.0</v>
      </c>
      <c r="H585" s="167">
        <v>1.0</v>
      </c>
      <c r="I585" s="168">
        <v>1.0</v>
      </c>
      <c r="J585" s="167">
        <v>1.0</v>
      </c>
      <c r="K585" s="167">
        <v>1.0</v>
      </c>
      <c r="L585" s="167">
        <v>1.0</v>
      </c>
      <c r="M585" s="167">
        <v>1.0</v>
      </c>
      <c r="N585" s="178"/>
      <c r="O585" s="169">
        <v>1.0</v>
      </c>
      <c r="P585" s="166">
        <v>1.0</v>
      </c>
      <c r="Q585" s="167">
        <v>1.0</v>
      </c>
      <c r="R585" s="167">
        <v>1.0</v>
      </c>
      <c r="S585" s="167">
        <v>1.0</v>
      </c>
      <c r="T585" s="168">
        <v>1.0</v>
      </c>
      <c r="U585" s="170">
        <f t="shared" si="138"/>
        <v>1</v>
      </c>
      <c r="V585" s="170">
        <f t="shared" si="139"/>
        <v>1</v>
      </c>
    </row>
    <row r="586">
      <c r="A586" s="163">
        <v>6130010.0</v>
      </c>
      <c r="B586" s="164" t="s">
        <v>1419</v>
      </c>
      <c r="C586" s="165">
        <v>7.0</v>
      </c>
      <c r="D586" s="166">
        <v>1.0</v>
      </c>
      <c r="E586" s="167">
        <v>1.0</v>
      </c>
      <c r="F586" s="167">
        <v>1.0</v>
      </c>
      <c r="G586" s="167">
        <v>1.0</v>
      </c>
      <c r="H586" s="167">
        <v>1.0</v>
      </c>
      <c r="I586" s="168">
        <v>1.0</v>
      </c>
      <c r="J586" s="167">
        <v>1.0</v>
      </c>
      <c r="K586" s="167">
        <v>1.0</v>
      </c>
      <c r="L586" s="167">
        <v>1.0</v>
      </c>
      <c r="M586" s="167">
        <v>1.0</v>
      </c>
      <c r="N586" s="167">
        <v>1.0</v>
      </c>
      <c r="O586" s="169">
        <v>1.0</v>
      </c>
      <c r="P586" s="180"/>
      <c r="Q586" s="178"/>
      <c r="R586" s="178"/>
      <c r="S586" s="178"/>
      <c r="T586" s="181"/>
      <c r="U586" s="170">
        <f t="shared" si="138"/>
        <v>1</v>
      </c>
      <c r="V586" s="170" t="str">
        <f t="shared" si="139"/>
        <v/>
      </c>
    </row>
    <row r="587">
      <c r="A587" s="149">
        <v>6140000.0</v>
      </c>
      <c r="B587" s="150" t="s">
        <v>1882</v>
      </c>
      <c r="C587" s="151">
        <v>3.0</v>
      </c>
      <c r="D587" s="218"/>
      <c r="E587" s="153"/>
      <c r="F587" s="153"/>
      <c r="G587" s="153"/>
      <c r="H587" s="153"/>
      <c r="I587" s="154"/>
      <c r="J587" s="153"/>
      <c r="K587" s="153"/>
      <c r="L587" s="153"/>
      <c r="M587" s="153"/>
      <c r="N587" s="153"/>
      <c r="O587" s="155"/>
      <c r="P587" s="152"/>
      <c r="Q587" s="153"/>
      <c r="R587" s="153"/>
      <c r="S587" s="153"/>
      <c r="T587" s="154"/>
    </row>
    <row r="588">
      <c r="A588" s="163">
        <v>6140001.0</v>
      </c>
      <c r="B588" s="164" t="s">
        <v>1421</v>
      </c>
      <c r="C588" s="165">
        <v>7.0</v>
      </c>
      <c r="D588" s="166">
        <v>1.0</v>
      </c>
      <c r="E588" s="167">
        <v>1.0</v>
      </c>
      <c r="F588" s="167">
        <v>1.0</v>
      </c>
      <c r="G588" s="167">
        <v>1.0</v>
      </c>
      <c r="H588" s="167">
        <v>1.0</v>
      </c>
      <c r="I588" s="168">
        <v>1.0</v>
      </c>
      <c r="J588" s="178"/>
      <c r="K588" s="167">
        <v>1.0</v>
      </c>
      <c r="L588" s="167">
        <v>1.0</v>
      </c>
      <c r="M588" s="167">
        <v>1.0</v>
      </c>
      <c r="N588" s="167">
        <v>1.0</v>
      </c>
      <c r="O588" s="169">
        <v>1.0</v>
      </c>
      <c r="P588" s="166">
        <v>1.0</v>
      </c>
      <c r="Q588" s="167">
        <v>1.0</v>
      </c>
      <c r="R588" s="167">
        <v>1.0</v>
      </c>
      <c r="S588" s="167">
        <v>1.0</v>
      </c>
      <c r="T588" s="168">
        <v>1.0</v>
      </c>
      <c r="U588" s="170">
        <f>if(I588+O588&gt;0,1,"")</f>
        <v>1</v>
      </c>
      <c r="V588" s="170">
        <f>if(T588&gt;0,1,"")</f>
        <v>1</v>
      </c>
    </row>
    <row r="589">
      <c r="A589" s="149">
        <v>6150000.0</v>
      </c>
      <c r="B589" s="150" t="s">
        <v>1883</v>
      </c>
      <c r="C589" s="151">
        <v>3.0</v>
      </c>
      <c r="D589" s="218"/>
      <c r="E589" s="153"/>
      <c r="F589" s="153"/>
      <c r="G589" s="153"/>
      <c r="H589" s="153"/>
      <c r="I589" s="154"/>
      <c r="J589" s="153"/>
      <c r="K589" s="153"/>
      <c r="L589" s="153"/>
      <c r="M589" s="153"/>
      <c r="N589" s="153"/>
      <c r="O589" s="155"/>
      <c r="P589" s="152"/>
      <c r="Q589" s="153"/>
      <c r="R589" s="153"/>
      <c r="S589" s="153"/>
      <c r="T589" s="154"/>
    </row>
    <row r="590">
      <c r="A590" s="163">
        <v>6150001.0</v>
      </c>
      <c r="B590" s="164" t="s">
        <v>1432</v>
      </c>
      <c r="C590" s="165">
        <v>7.0</v>
      </c>
      <c r="D590" s="166">
        <v>1.0</v>
      </c>
      <c r="E590" s="167">
        <v>1.0</v>
      </c>
      <c r="F590" s="167">
        <v>1.0</v>
      </c>
      <c r="G590" s="167">
        <v>1.0</v>
      </c>
      <c r="H590" s="167">
        <v>1.0</v>
      </c>
      <c r="I590" s="168">
        <v>1.0</v>
      </c>
      <c r="J590" s="167">
        <v>1.0</v>
      </c>
      <c r="K590" s="167">
        <v>1.0</v>
      </c>
      <c r="L590" s="167">
        <v>1.0</v>
      </c>
      <c r="M590" s="167">
        <v>1.0</v>
      </c>
      <c r="N590" s="167">
        <v>1.0</v>
      </c>
      <c r="O590" s="169">
        <v>1.0</v>
      </c>
      <c r="P590" s="166">
        <v>1.0</v>
      </c>
      <c r="Q590" s="167">
        <v>1.0</v>
      </c>
      <c r="R590" s="167">
        <v>1.0</v>
      </c>
      <c r="S590" s="167">
        <v>1.0</v>
      </c>
      <c r="T590" s="168">
        <v>1.0</v>
      </c>
      <c r="U590" s="170">
        <f t="shared" ref="U590:U595" si="140">if(I590+O590&gt;0,1,"")</f>
        <v>1</v>
      </c>
      <c r="V590" s="170">
        <f t="shared" ref="V590:V595" si="141">if(T590&gt;0,1,"")</f>
        <v>1</v>
      </c>
    </row>
    <row r="591">
      <c r="A591" s="163">
        <v>6150002.0</v>
      </c>
      <c r="B591" s="164" t="s">
        <v>1435</v>
      </c>
      <c r="C591" s="165">
        <v>7.0</v>
      </c>
      <c r="D591" s="166">
        <v>1.0</v>
      </c>
      <c r="E591" s="167">
        <v>1.0</v>
      </c>
      <c r="F591" s="167">
        <v>1.0</v>
      </c>
      <c r="G591" s="167">
        <v>1.0</v>
      </c>
      <c r="H591" s="167">
        <v>1.0</v>
      </c>
      <c r="I591" s="168">
        <v>1.0</v>
      </c>
      <c r="J591" s="167">
        <v>1.0</v>
      </c>
      <c r="K591" s="167">
        <v>1.0</v>
      </c>
      <c r="L591" s="167">
        <v>1.0</v>
      </c>
      <c r="M591" s="167">
        <v>1.0</v>
      </c>
      <c r="N591" s="167">
        <v>1.0</v>
      </c>
      <c r="O591" s="169">
        <v>1.0</v>
      </c>
      <c r="P591" s="166">
        <v>1.0</v>
      </c>
      <c r="Q591" s="167">
        <v>1.0</v>
      </c>
      <c r="R591" s="167">
        <v>1.0</v>
      </c>
      <c r="S591" s="167">
        <v>1.0</v>
      </c>
      <c r="T591" s="168">
        <v>1.0</v>
      </c>
      <c r="U591" s="170">
        <f t="shared" si="140"/>
        <v>1</v>
      </c>
      <c r="V591" s="170">
        <f t="shared" si="141"/>
        <v>1</v>
      </c>
    </row>
    <row r="592">
      <c r="A592" s="163">
        <v>6150003.0</v>
      </c>
      <c r="B592" s="164" t="s">
        <v>1437</v>
      </c>
      <c r="C592" s="165">
        <v>7.0</v>
      </c>
      <c r="D592" s="166">
        <v>1.0</v>
      </c>
      <c r="E592" s="167">
        <v>1.0</v>
      </c>
      <c r="F592" s="167">
        <v>1.0</v>
      </c>
      <c r="G592" s="167">
        <v>1.0</v>
      </c>
      <c r="H592" s="167">
        <v>1.0</v>
      </c>
      <c r="I592" s="168">
        <v>1.0</v>
      </c>
      <c r="J592" s="167">
        <v>1.0</v>
      </c>
      <c r="K592" s="167">
        <v>1.0</v>
      </c>
      <c r="L592" s="167">
        <v>1.0</v>
      </c>
      <c r="M592" s="167">
        <v>1.0</v>
      </c>
      <c r="N592" s="167">
        <v>1.0</v>
      </c>
      <c r="O592" s="169">
        <v>1.0</v>
      </c>
      <c r="P592" s="166">
        <v>1.0</v>
      </c>
      <c r="Q592" s="167">
        <v>1.0</v>
      </c>
      <c r="R592" s="167">
        <v>1.0</v>
      </c>
      <c r="S592" s="167">
        <v>1.0</v>
      </c>
      <c r="T592" s="168">
        <v>1.0</v>
      </c>
      <c r="U592" s="170">
        <f t="shared" si="140"/>
        <v>1</v>
      </c>
      <c r="V592" s="170">
        <f t="shared" si="141"/>
        <v>1</v>
      </c>
    </row>
    <row r="593">
      <c r="A593" s="163">
        <v>6150004.0</v>
      </c>
      <c r="B593" s="164" t="s">
        <v>1440</v>
      </c>
      <c r="C593" s="165">
        <v>7.0</v>
      </c>
      <c r="D593" s="166">
        <v>1.0</v>
      </c>
      <c r="E593" s="167">
        <v>1.0</v>
      </c>
      <c r="F593" s="167">
        <v>1.0</v>
      </c>
      <c r="G593" s="167">
        <v>1.0</v>
      </c>
      <c r="H593" s="167">
        <v>1.0</v>
      </c>
      <c r="I593" s="168">
        <v>1.0</v>
      </c>
      <c r="J593" s="178"/>
      <c r="K593" s="178"/>
      <c r="L593" s="178"/>
      <c r="M593" s="178"/>
      <c r="N593" s="178"/>
      <c r="O593" s="179"/>
      <c r="P593" s="166">
        <v>1.0</v>
      </c>
      <c r="Q593" s="167">
        <v>1.0</v>
      </c>
      <c r="R593" s="167">
        <v>1.0</v>
      </c>
      <c r="S593" s="178"/>
      <c r="T593" s="168">
        <v>1.0</v>
      </c>
      <c r="U593" s="170">
        <f t="shared" si="140"/>
        <v>1</v>
      </c>
      <c r="V593" s="170">
        <f t="shared" si="141"/>
        <v>1</v>
      </c>
    </row>
    <row r="594">
      <c r="A594" s="163">
        <v>6150005.0</v>
      </c>
      <c r="B594" s="164" t="s">
        <v>1442</v>
      </c>
      <c r="C594" s="165">
        <v>7.0</v>
      </c>
      <c r="D594" s="166">
        <v>1.0</v>
      </c>
      <c r="E594" s="167">
        <v>1.0</v>
      </c>
      <c r="F594" s="167">
        <v>1.0</v>
      </c>
      <c r="G594" s="167">
        <v>1.0</v>
      </c>
      <c r="H594" s="167">
        <v>1.0</v>
      </c>
      <c r="I594" s="168">
        <v>1.0</v>
      </c>
      <c r="J594" s="178"/>
      <c r="K594" s="178"/>
      <c r="L594" s="178"/>
      <c r="M594" s="178"/>
      <c r="N594" s="178"/>
      <c r="O594" s="179"/>
      <c r="P594" s="166">
        <v>1.0</v>
      </c>
      <c r="Q594" s="167">
        <v>1.0</v>
      </c>
      <c r="R594" s="167">
        <v>1.0</v>
      </c>
      <c r="S594" s="178"/>
      <c r="T594" s="168">
        <v>1.0</v>
      </c>
      <c r="U594" s="170">
        <f t="shared" si="140"/>
        <v>1</v>
      </c>
      <c r="V594" s="170">
        <f t="shared" si="141"/>
        <v>1</v>
      </c>
    </row>
    <row r="595">
      <c r="A595" s="163">
        <v>6150006.0</v>
      </c>
      <c r="B595" s="164" t="s">
        <v>1444</v>
      </c>
      <c r="C595" s="165">
        <v>7.0</v>
      </c>
      <c r="D595" s="166">
        <v>1.0</v>
      </c>
      <c r="E595" s="167">
        <v>1.0</v>
      </c>
      <c r="F595" s="167">
        <v>1.0</v>
      </c>
      <c r="G595" s="167">
        <v>1.0</v>
      </c>
      <c r="H595" s="167">
        <v>1.0</v>
      </c>
      <c r="I595" s="168">
        <v>1.0</v>
      </c>
      <c r="J595" s="167">
        <v>1.0</v>
      </c>
      <c r="K595" s="167">
        <v>1.0</v>
      </c>
      <c r="L595" s="167">
        <v>1.0</v>
      </c>
      <c r="M595" s="167">
        <v>1.0</v>
      </c>
      <c r="N595" s="167">
        <v>1.0</v>
      </c>
      <c r="O595" s="169">
        <v>1.0</v>
      </c>
      <c r="P595" s="166">
        <v>1.0</v>
      </c>
      <c r="Q595" s="167">
        <v>1.0</v>
      </c>
      <c r="R595" s="167">
        <v>1.0</v>
      </c>
      <c r="S595" s="167">
        <v>1.0</v>
      </c>
      <c r="T595" s="168">
        <v>1.0</v>
      </c>
      <c r="U595" s="170">
        <f t="shared" si="140"/>
        <v>1</v>
      </c>
      <c r="V595" s="170">
        <f t="shared" si="141"/>
        <v>1</v>
      </c>
    </row>
    <row r="596">
      <c r="A596" s="142">
        <v>6200000.0</v>
      </c>
      <c r="B596" s="143" t="s">
        <v>1884</v>
      </c>
      <c r="C596" s="144">
        <v>2.0</v>
      </c>
      <c r="D596" s="145"/>
      <c r="E596" s="146"/>
      <c r="F596" s="146"/>
      <c r="G596" s="146"/>
      <c r="H596" s="146"/>
      <c r="I596" s="147"/>
      <c r="J596" s="146"/>
      <c r="K596" s="146"/>
      <c r="L596" s="146"/>
      <c r="M596" s="146"/>
      <c r="N596" s="146"/>
      <c r="O596" s="148"/>
      <c r="P596" s="145"/>
      <c r="Q596" s="146"/>
      <c r="R596" s="146"/>
      <c r="S596" s="146"/>
      <c r="T596" s="147"/>
    </row>
    <row r="597">
      <c r="A597" s="149">
        <v>6210000.0</v>
      </c>
      <c r="B597" s="150" t="s">
        <v>1885</v>
      </c>
      <c r="C597" s="151">
        <v>3.0</v>
      </c>
      <c r="D597" s="152"/>
      <c r="E597" s="153"/>
      <c r="F597" s="153"/>
      <c r="G597" s="153"/>
      <c r="H597" s="153"/>
      <c r="I597" s="154"/>
      <c r="J597" s="153"/>
      <c r="K597" s="153"/>
      <c r="L597" s="153"/>
      <c r="M597" s="153"/>
      <c r="N597" s="153"/>
      <c r="O597" s="155"/>
      <c r="P597" s="152"/>
      <c r="Q597" s="153"/>
      <c r="R597" s="153"/>
      <c r="S597" s="153"/>
      <c r="T597" s="154"/>
    </row>
    <row r="598">
      <c r="A598" s="156">
        <v>6211000.0</v>
      </c>
      <c r="B598" s="157" t="s">
        <v>1886</v>
      </c>
      <c r="C598" s="158">
        <v>4.0</v>
      </c>
      <c r="D598" s="220"/>
      <c r="E598" s="160"/>
      <c r="F598" s="160"/>
      <c r="G598" s="160"/>
      <c r="H598" s="160"/>
      <c r="I598" s="161"/>
      <c r="J598" s="160"/>
      <c r="K598" s="160"/>
      <c r="L598" s="160"/>
      <c r="M598" s="160"/>
      <c r="N598" s="160"/>
      <c r="O598" s="162"/>
      <c r="P598" s="159"/>
      <c r="Q598" s="160"/>
      <c r="R598" s="160"/>
      <c r="S598" s="160"/>
      <c r="T598" s="161"/>
    </row>
    <row r="599">
      <c r="A599" s="163">
        <v>6211001.0</v>
      </c>
      <c r="B599" s="164" t="s">
        <v>1447</v>
      </c>
      <c r="C599" s="165">
        <v>7.0</v>
      </c>
      <c r="D599" s="166">
        <v>1.0</v>
      </c>
      <c r="E599" s="167">
        <v>1.0</v>
      </c>
      <c r="F599" s="167">
        <v>1.0</v>
      </c>
      <c r="G599" s="167">
        <v>1.0</v>
      </c>
      <c r="H599" s="167">
        <v>1.0</v>
      </c>
      <c r="I599" s="168">
        <v>1.0</v>
      </c>
      <c r="J599" s="167">
        <v>1.0</v>
      </c>
      <c r="K599" s="167">
        <v>1.0</v>
      </c>
      <c r="L599" s="167">
        <v>1.0</v>
      </c>
      <c r="M599" s="167">
        <v>1.0</v>
      </c>
      <c r="N599" s="167">
        <v>1.0</v>
      </c>
      <c r="O599" s="169">
        <v>1.0</v>
      </c>
      <c r="P599" s="166">
        <v>1.0</v>
      </c>
      <c r="Q599" s="167">
        <v>1.0</v>
      </c>
      <c r="R599" s="167">
        <v>1.0</v>
      </c>
      <c r="S599" s="167">
        <v>1.0</v>
      </c>
      <c r="T599" s="168">
        <v>1.0</v>
      </c>
      <c r="U599" s="170">
        <f t="shared" ref="U599:U600" si="142">if(I599+O599&gt;0,1,"")</f>
        <v>1</v>
      </c>
      <c r="V599" s="170">
        <f t="shared" ref="V599:V600" si="143">if(T599&gt;0,1,"")</f>
        <v>1</v>
      </c>
    </row>
    <row r="600">
      <c r="A600" s="163">
        <v>6211002.0</v>
      </c>
      <c r="B600" s="164" t="s">
        <v>1449</v>
      </c>
      <c r="C600" s="165">
        <v>7.0</v>
      </c>
      <c r="D600" s="166">
        <v>1.0</v>
      </c>
      <c r="E600" s="167">
        <v>1.0</v>
      </c>
      <c r="F600" s="167">
        <v>1.0</v>
      </c>
      <c r="G600" s="167">
        <v>1.0</v>
      </c>
      <c r="H600" s="167">
        <v>1.0</v>
      </c>
      <c r="I600" s="168">
        <v>1.0</v>
      </c>
      <c r="J600" s="167">
        <v>1.0</v>
      </c>
      <c r="K600" s="167">
        <v>1.0</v>
      </c>
      <c r="L600" s="167">
        <v>1.0</v>
      </c>
      <c r="M600" s="167">
        <v>1.0</v>
      </c>
      <c r="N600" s="167">
        <v>1.0</v>
      </c>
      <c r="O600" s="169">
        <v>1.0</v>
      </c>
      <c r="P600" s="166">
        <v>1.0</v>
      </c>
      <c r="Q600" s="167">
        <v>1.0</v>
      </c>
      <c r="R600" s="167">
        <v>1.0</v>
      </c>
      <c r="S600" s="167">
        <v>1.0</v>
      </c>
      <c r="T600" s="168">
        <v>1.0</v>
      </c>
      <c r="U600" s="170">
        <f t="shared" si="142"/>
        <v>1</v>
      </c>
      <c r="V600" s="170">
        <f t="shared" si="143"/>
        <v>1</v>
      </c>
    </row>
    <row r="601">
      <c r="A601" s="156">
        <v>6212000.0</v>
      </c>
      <c r="B601" s="157" t="s">
        <v>1887</v>
      </c>
      <c r="C601" s="158">
        <v>4.0</v>
      </c>
      <c r="D601" s="220"/>
      <c r="E601" s="160"/>
      <c r="F601" s="160"/>
      <c r="G601" s="160"/>
      <c r="H601" s="160"/>
      <c r="I601" s="161"/>
      <c r="J601" s="160"/>
      <c r="K601" s="160"/>
      <c r="L601" s="160"/>
      <c r="M601" s="160"/>
      <c r="N601" s="160"/>
      <c r="O601" s="162"/>
      <c r="P601" s="159"/>
      <c r="Q601" s="160"/>
      <c r="R601" s="160"/>
      <c r="S601" s="160"/>
      <c r="T601" s="161"/>
    </row>
    <row r="602">
      <c r="A602" s="163">
        <v>6212001.0</v>
      </c>
      <c r="B602" s="164" t="s">
        <v>1451</v>
      </c>
      <c r="C602" s="165">
        <v>7.0</v>
      </c>
      <c r="D602" s="166">
        <v>1.0</v>
      </c>
      <c r="E602" s="167">
        <v>1.0</v>
      </c>
      <c r="F602" s="167">
        <v>1.0</v>
      </c>
      <c r="G602" s="167">
        <v>1.0</v>
      </c>
      <c r="H602" s="167">
        <v>1.0</v>
      </c>
      <c r="I602" s="168">
        <v>1.0</v>
      </c>
      <c r="J602" s="167">
        <v>1.0</v>
      </c>
      <c r="K602" s="167">
        <v>1.0</v>
      </c>
      <c r="L602" s="167">
        <v>1.0</v>
      </c>
      <c r="M602" s="167">
        <v>1.0</v>
      </c>
      <c r="N602" s="167">
        <v>1.0</v>
      </c>
      <c r="O602" s="169">
        <v>1.0</v>
      </c>
      <c r="P602" s="166">
        <v>1.0</v>
      </c>
      <c r="Q602" s="167">
        <v>1.0</v>
      </c>
      <c r="R602" s="167">
        <v>1.0</v>
      </c>
      <c r="S602" s="167">
        <v>1.0</v>
      </c>
      <c r="T602" s="168">
        <v>1.0</v>
      </c>
      <c r="U602" s="170">
        <f t="shared" ref="U602:U603" si="144">if(I602+O602&gt;0,1,"")</f>
        <v>1</v>
      </c>
      <c r="V602" s="170">
        <f t="shared" ref="V602:V603" si="145">if(T602&gt;0,1,"")</f>
        <v>1</v>
      </c>
    </row>
    <row r="603">
      <c r="A603" s="163">
        <v>6212002.0</v>
      </c>
      <c r="B603" s="164" t="s">
        <v>1453</v>
      </c>
      <c r="C603" s="165">
        <v>7.0</v>
      </c>
      <c r="D603" s="166">
        <v>1.0</v>
      </c>
      <c r="E603" s="167">
        <v>1.0</v>
      </c>
      <c r="F603" s="167">
        <v>1.0</v>
      </c>
      <c r="G603" s="167">
        <v>1.0</v>
      </c>
      <c r="H603" s="167">
        <v>1.0</v>
      </c>
      <c r="I603" s="168">
        <v>1.0</v>
      </c>
      <c r="J603" s="167">
        <v>1.0</v>
      </c>
      <c r="K603" s="167">
        <v>1.0</v>
      </c>
      <c r="L603" s="167">
        <v>1.0</v>
      </c>
      <c r="M603" s="167">
        <v>1.0</v>
      </c>
      <c r="N603" s="167">
        <v>1.0</v>
      </c>
      <c r="O603" s="169">
        <v>1.0</v>
      </c>
      <c r="P603" s="166">
        <v>1.0</v>
      </c>
      <c r="Q603" s="167">
        <v>1.0</v>
      </c>
      <c r="R603" s="167">
        <v>1.0</v>
      </c>
      <c r="S603" s="167">
        <v>1.0</v>
      </c>
      <c r="T603" s="168">
        <v>1.0</v>
      </c>
      <c r="U603" s="170">
        <f t="shared" si="144"/>
        <v>1</v>
      </c>
      <c r="V603" s="170">
        <f t="shared" si="145"/>
        <v>1</v>
      </c>
    </row>
    <row r="604">
      <c r="A604" s="156">
        <v>6213000.0</v>
      </c>
      <c r="B604" s="157" t="s">
        <v>1888</v>
      </c>
      <c r="C604" s="158">
        <v>4.0</v>
      </c>
      <c r="D604" s="220"/>
      <c r="E604" s="160"/>
      <c r="F604" s="160"/>
      <c r="G604" s="160"/>
      <c r="H604" s="160"/>
      <c r="I604" s="161"/>
      <c r="J604" s="160"/>
      <c r="K604" s="160"/>
      <c r="L604" s="160"/>
      <c r="M604" s="160"/>
      <c r="N604" s="160"/>
      <c r="O604" s="162"/>
      <c r="P604" s="159"/>
      <c r="Q604" s="160"/>
      <c r="R604" s="160"/>
      <c r="S604" s="160"/>
      <c r="T604" s="161"/>
    </row>
    <row r="605">
      <c r="A605" s="163">
        <v>6213001.0</v>
      </c>
      <c r="B605" s="164" t="s">
        <v>1455</v>
      </c>
      <c r="C605" s="165">
        <v>7.0</v>
      </c>
      <c r="D605" s="166">
        <v>1.0</v>
      </c>
      <c r="E605" s="167">
        <v>1.0</v>
      </c>
      <c r="F605" s="167">
        <v>1.0</v>
      </c>
      <c r="G605" s="167">
        <v>1.0</v>
      </c>
      <c r="H605" s="167">
        <v>1.0</v>
      </c>
      <c r="I605" s="168">
        <v>1.0</v>
      </c>
      <c r="J605" s="167">
        <v>1.0</v>
      </c>
      <c r="K605" s="167">
        <v>1.0</v>
      </c>
      <c r="L605" s="167">
        <v>1.0</v>
      </c>
      <c r="M605" s="167">
        <v>1.0</v>
      </c>
      <c r="N605" s="167">
        <v>1.0</v>
      </c>
      <c r="O605" s="169">
        <v>1.0</v>
      </c>
      <c r="P605" s="166">
        <v>1.0</v>
      </c>
      <c r="Q605" s="167">
        <v>1.0</v>
      </c>
      <c r="R605" s="167">
        <v>1.0</v>
      </c>
      <c r="S605" s="167">
        <v>1.0</v>
      </c>
      <c r="T605" s="168">
        <v>1.0</v>
      </c>
      <c r="U605" s="170">
        <f t="shared" ref="U605:U606" si="146">if(I605+O605&gt;0,1,"")</f>
        <v>1</v>
      </c>
      <c r="V605" s="170">
        <f t="shared" ref="V605:V606" si="147">if(T605&gt;0,1,"")</f>
        <v>1</v>
      </c>
    </row>
    <row r="606">
      <c r="A606" s="163">
        <v>6213002.0</v>
      </c>
      <c r="B606" s="164" t="s">
        <v>1457</v>
      </c>
      <c r="C606" s="165">
        <v>7.0</v>
      </c>
      <c r="D606" s="166">
        <v>1.0</v>
      </c>
      <c r="E606" s="167">
        <v>1.0</v>
      </c>
      <c r="F606" s="167">
        <v>1.0</v>
      </c>
      <c r="G606" s="167">
        <v>1.0</v>
      </c>
      <c r="H606" s="167">
        <v>1.0</v>
      </c>
      <c r="I606" s="168">
        <v>1.0</v>
      </c>
      <c r="J606" s="167">
        <v>1.0</v>
      </c>
      <c r="K606" s="167">
        <v>1.0</v>
      </c>
      <c r="L606" s="167">
        <v>1.0</v>
      </c>
      <c r="M606" s="178"/>
      <c r="N606" s="178"/>
      <c r="O606" s="169">
        <v>1.0</v>
      </c>
      <c r="P606" s="180"/>
      <c r="Q606" s="178"/>
      <c r="R606" s="178"/>
      <c r="S606" s="178"/>
      <c r="T606" s="181"/>
      <c r="U606" s="170">
        <f t="shared" si="146"/>
        <v>1</v>
      </c>
      <c r="V606" s="170" t="str">
        <f t="shared" si="147"/>
        <v/>
      </c>
    </row>
    <row r="607">
      <c r="A607" s="156">
        <v>6214000.0</v>
      </c>
      <c r="B607" s="157" t="s">
        <v>1889</v>
      </c>
      <c r="C607" s="158">
        <v>4.0</v>
      </c>
      <c r="D607" s="220"/>
      <c r="E607" s="160"/>
      <c r="F607" s="160"/>
      <c r="G607" s="160"/>
      <c r="H607" s="160"/>
      <c r="I607" s="161"/>
      <c r="J607" s="160"/>
      <c r="K607" s="160"/>
      <c r="L607" s="160"/>
      <c r="M607" s="160"/>
      <c r="N607" s="160"/>
      <c r="O607" s="162"/>
      <c r="P607" s="159"/>
      <c r="Q607" s="160"/>
      <c r="R607" s="160"/>
      <c r="S607" s="160"/>
      <c r="T607" s="161"/>
    </row>
    <row r="608">
      <c r="A608" s="163">
        <v>6214001.0</v>
      </c>
      <c r="B608" s="164" t="s">
        <v>1459</v>
      </c>
      <c r="C608" s="165">
        <v>7.0</v>
      </c>
      <c r="D608" s="166">
        <v>1.0</v>
      </c>
      <c r="E608" s="167">
        <v>1.0</v>
      </c>
      <c r="F608" s="167">
        <v>1.0</v>
      </c>
      <c r="G608" s="167">
        <v>1.0</v>
      </c>
      <c r="H608" s="167">
        <v>1.0</v>
      </c>
      <c r="I608" s="168">
        <v>1.0</v>
      </c>
      <c r="J608" s="167">
        <v>1.0</v>
      </c>
      <c r="K608" s="167">
        <v>1.0</v>
      </c>
      <c r="L608" s="167">
        <v>1.0</v>
      </c>
      <c r="M608" s="167">
        <v>1.0</v>
      </c>
      <c r="N608" s="167">
        <v>1.0</v>
      </c>
      <c r="O608" s="169">
        <v>1.0</v>
      </c>
      <c r="P608" s="166">
        <v>1.0</v>
      </c>
      <c r="Q608" s="167">
        <v>1.0</v>
      </c>
      <c r="R608" s="167">
        <v>1.0</v>
      </c>
      <c r="S608" s="167">
        <v>1.0</v>
      </c>
      <c r="T608" s="168">
        <v>1.0</v>
      </c>
      <c r="U608" s="170">
        <f t="shared" ref="U608:U609" si="148">if(I608+O608&gt;0,1,"")</f>
        <v>1</v>
      </c>
      <c r="V608" s="170">
        <f t="shared" ref="V608:V609" si="149">if(T608&gt;0,1,"")</f>
        <v>1</v>
      </c>
    </row>
    <row r="609">
      <c r="A609" s="163">
        <v>6214002.0</v>
      </c>
      <c r="B609" s="164" t="s">
        <v>1461</v>
      </c>
      <c r="C609" s="165">
        <v>7.0</v>
      </c>
      <c r="D609" s="166">
        <v>1.0</v>
      </c>
      <c r="E609" s="167">
        <v>1.0</v>
      </c>
      <c r="F609" s="167">
        <v>1.0</v>
      </c>
      <c r="G609" s="167">
        <v>1.0</v>
      </c>
      <c r="H609" s="167">
        <v>1.0</v>
      </c>
      <c r="I609" s="168">
        <v>1.0</v>
      </c>
      <c r="J609" s="167">
        <v>1.0</v>
      </c>
      <c r="K609" s="167">
        <v>1.0</v>
      </c>
      <c r="L609" s="167">
        <v>1.0</v>
      </c>
      <c r="M609" s="167">
        <v>1.0</v>
      </c>
      <c r="N609" s="167">
        <v>1.0</v>
      </c>
      <c r="O609" s="169">
        <v>1.0</v>
      </c>
      <c r="P609" s="166">
        <v>1.0</v>
      </c>
      <c r="Q609" s="167">
        <v>1.0</v>
      </c>
      <c r="R609" s="167">
        <v>1.0</v>
      </c>
      <c r="S609" s="167">
        <v>1.0</v>
      </c>
      <c r="T609" s="168">
        <v>1.0</v>
      </c>
      <c r="U609" s="170">
        <f t="shared" si="148"/>
        <v>1</v>
      </c>
      <c r="V609" s="170">
        <f t="shared" si="149"/>
        <v>1</v>
      </c>
    </row>
    <row r="610">
      <c r="A610" s="156">
        <v>6215000.0</v>
      </c>
      <c r="B610" s="157" t="s">
        <v>1463</v>
      </c>
      <c r="C610" s="158">
        <v>4.0</v>
      </c>
      <c r="D610" s="220"/>
      <c r="E610" s="160"/>
      <c r="F610" s="160"/>
      <c r="G610" s="160"/>
      <c r="H610" s="160"/>
      <c r="I610" s="161"/>
      <c r="J610" s="160"/>
      <c r="K610" s="160"/>
      <c r="L610" s="160"/>
      <c r="M610" s="160"/>
      <c r="N610" s="160"/>
      <c r="O610" s="162"/>
      <c r="P610" s="159"/>
      <c r="Q610" s="160"/>
      <c r="R610" s="160"/>
      <c r="S610" s="160"/>
      <c r="T610" s="161"/>
    </row>
    <row r="611">
      <c r="A611" s="163">
        <v>6215001.0</v>
      </c>
      <c r="B611" s="164" t="s">
        <v>1463</v>
      </c>
      <c r="C611" s="165">
        <v>7.0</v>
      </c>
      <c r="D611" s="166">
        <v>1.0</v>
      </c>
      <c r="E611" s="167">
        <v>1.0</v>
      </c>
      <c r="F611" s="167">
        <v>1.0</v>
      </c>
      <c r="G611" s="167">
        <v>1.0</v>
      </c>
      <c r="H611" s="167">
        <v>1.0</v>
      </c>
      <c r="I611" s="168">
        <v>1.0</v>
      </c>
      <c r="J611" s="167">
        <v>1.0</v>
      </c>
      <c r="K611" s="167">
        <v>1.0</v>
      </c>
      <c r="L611" s="167">
        <v>1.0</v>
      </c>
      <c r="M611" s="167">
        <v>1.0</v>
      </c>
      <c r="N611" s="167">
        <v>1.0</v>
      </c>
      <c r="O611" s="169">
        <v>1.0</v>
      </c>
      <c r="P611" s="166">
        <v>1.0</v>
      </c>
      <c r="Q611" s="167">
        <v>1.0</v>
      </c>
      <c r="R611" s="167">
        <v>1.0</v>
      </c>
      <c r="S611" s="167">
        <v>1.0</v>
      </c>
      <c r="T611" s="168">
        <v>1.0</v>
      </c>
      <c r="U611" s="170">
        <f>if(I611+O611&gt;0,1,"")</f>
        <v>1</v>
      </c>
      <c r="V611" s="170">
        <f>if(T611&gt;0,1,"")</f>
        <v>1</v>
      </c>
    </row>
    <row r="612">
      <c r="A612" s="149">
        <v>6220000.0</v>
      </c>
      <c r="B612" s="150" t="s">
        <v>1890</v>
      </c>
      <c r="C612" s="151">
        <v>3.0</v>
      </c>
      <c r="D612" s="152"/>
      <c r="E612" s="153"/>
      <c r="F612" s="153"/>
      <c r="G612" s="153"/>
      <c r="H612" s="153"/>
      <c r="I612" s="154"/>
      <c r="J612" s="153"/>
      <c r="K612" s="153"/>
      <c r="L612" s="153"/>
      <c r="M612" s="153"/>
      <c r="N612" s="153"/>
      <c r="O612" s="155"/>
      <c r="P612" s="152"/>
      <c r="Q612" s="153"/>
      <c r="R612" s="153"/>
      <c r="S612" s="153"/>
      <c r="T612" s="154"/>
    </row>
    <row r="613">
      <c r="A613" s="156">
        <v>6221000.0</v>
      </c>
      <c r="B613" s="157" t="s">
        <v>1891</v>
      </c>
      <c r="C613" s="158">
        <v>4.0</v>
      </c>
      <c r="D613" s="159"/>
      <c r="E613" s="160"/>
      <c r="F613" s="160"/>
      <c r="G613" s="160"/>
      <c r="H613" s="160"/>
      <c r="I613" s="161"/>
      <c r="J613" s="160"/>
      <c r="K613" s="160"/>
      <c r="L613" s="160"/>
      <c r="M613" s="160"/>
      <c r="N613" s="160"/>
      <c r="O613" s="162"/>
      <c r="P613" s="159"/>
      <c r="Q613" s="160"/>
      <c r="R613" s="160"/>
      <c r="S613" s="160"/>
      <c r="T613" s="161"/>
    </row>
    <row r="614">
      <c r="A614" s="171">
        <v>6221100.0</v>
      </c>
      <c r="B614" s="172" t="s">
        <v>1892</v>
      </c>
      <c r="C614" s="173">
        <v>5.0</v>
      </c>
      <c r="D614" s="221"/>
      <c r="E614" s="175"/>
      <c r="F614" s="175"/>
      <c r="G614" s="175"/>
      <c r="H614" s="175"/>
      <c r="I614" s="176"/>
      <c r="J614" s="175"/>
      <c r="K614" s="175"/>
      <c r="L614" s="175"/>
      <c r="M614" s="175"/>
      <c r="N614" s="175"/>
      <c r="O614" s="177"/>
      <c r="P614" s="174"/>
      <c r="Q614" s="175"/>
      <c r="R614" s="175"/>
      <c r="S614" s="175"/>
      <c r="T614" s="176"/>
    </row>
    <row r="615">
      <c r="A615" s="163">
        <v>6221103.0</v>
      </c>
      <c r="B615" s="164" t="s">
        <v>1469</v>
      </c>
      <c r="C615" s="165">
        <v>7.0</v>
      </c>
      <c r="D615" s="166">
        <v>1.0</v>
      </c>
      <c r="E615" s="167">
        <v>1.0</v>
      </c>
      <c r="F615" s="167">
        <v>1.0</v>
      </c>
      <c r="G615" s="167">
        <v>1.0</v>
      </c>
      <c r="H615" s="167">
        <v>1.0</v>
      </c>
      <c r="I615" s="168">
        <v>1.0</v>
      </c>
      <c r="J615" s="167">
        <v>1.0</v>
      </c>
      <c r="K615" s="167">
        <v>1.0</v>
      </c>
      <c r="L615" s="167">
        <v>1.0</v>
      </c>
      <c r="M615" s="167">
        <v>1.0</v>
      </c>
      <c r="N615" s="167">
        <v>1.0</v>
      </c>
      <c r="O615" s="169">
        <v>1.0</v>
      </c>
      <c r="P615" s="166">
        <v>1.0</v>
      </c>
      <c r="Q615" s="167">
        <v>1.0</v>
      </c>
      <c r="R615" s="167">
        <v>1.0</v>
      </c>
      <c r="S615" s="167">
        <v>1.0</v>
      </c>
      <c r="T615" s="168">
        <v>1.0</v>
      </c>
      <c r="U615" s="170">
        <f>if(I615+O615&gt;0,1,"")</f>
        <v>1</v>
      </c>
      <c r="V615" s="170">
        <f>if(T615&gt;0,1,"")</f>
        <v>1</v>
      </c>
    </row>
    <row r="616">
      <c r="A616" s="156">
        <v>6222000.0</v>
      </c>
      <c r="B616" s="157" t="s">
        <v>1893</v>
      </c>
      <c r="C616" s="158">
        <v>4.0</v>
      </c>
      <c r="D616" s="220"/>
      <c r="E616" s="160"/>
      <c r="F616" s="160"/>
      <c r="G616" s="160"/>
      <c r="H616" s="160"/>
      <c r="I616" s="161"/>
      <c r="J616" s="160"/>
      <c r="K616" s="160"/>
      <c r="L616" s="160"/>
      <c r="M616" s="160"/>
      <c r="N616" s="160"/>
      <c r="O616" s="162"/>
      <c r="P616" s="159"/>
      <c r="Q616" s="160"/>
      <c r="R616" s="160"/>
      <c r="S616" s="160"/>
      <c r="T616" s="161"/>
    </row>
    <row r="617">
      <c r="A617" s="163">
        <v>6222001.0</v>
      </c>
      <c r="B617" s="164" t="s">
        <v>1484</v>
      </c>
      <c r="C617" s="165">
        <v>7.0</v>
      </c>
      <c r="D617" s="166">
        <v>1.0</v>
      </c>
      <c r="E617" s="167">
        <v>1.0</v>
      </c>
      <c r="F617" s="167">
        <v>1.0</v>
      </c>
      <c r="G617" s="167">
        <v>1.0</v>
      </c>
      <c r="H617" s="167">
        <v>1.0</v>
      </c>
      <c r="I617" s="168">
        <v>1.0</v>
      </c>
      <c r="J617" s="167">
        <v>1.0</v>
      </c>
      <c r="K617" s="167">
        <v>1.0</v>
      </c>
      <c r="L617" s="167">
        <v>1.0</v>
      </c>
      <c r="M617" s="167">
        <v>1.0</v>
      </c>
      <c r="N617" s="167">
        <v>1.0</v>
      </c>
      <c r="O617" s="169">
        <v>1.0</v>
      </c>
      <c r="P617" s="166">
        <v>1.0</v>
      </c>
      <c r="Q617" s="167">
        <v>1.0</v>
      </c>
      <c r="R617" s="167">
        <v>1.0</v>
      </c>
      <c r="S617" s="167">
        <v>1.0</v>
      </c>
      <c r="T617" s="168">
        <v>1.0</v>
      </c>
      <c r="U617" s="170">
        <f t="shared" ref="U617:U619" si="150">if(I617+O617&gt;0,1,"")</f>
        <v>1</v>
      </c>
      <c r="V617" s="170">
        <f t="shared" ref="V617:V619" si="151">if(T617&gt;0,1,"")</f>
        <v>1</v>
      </c>
    </row>
    <row r="618">
      <c r="A618" s="163">
        <v>6222002.0</v>
      </c>
      <c r="B618" s="164" t="s">
        <v>1486</v>
      </c>
      <c r="C618" s="165">
        <v>7.0</v>
      </c>
      <c r="D618" s="166">
        <v>1.0</v>
      </c>
      <c r="E618" s="178"/>
      <c r="F618" s="167">
        <v>1.0</v>
      </c>
      <c r="G618" s="167">
        <v>1.0</v>
      </c>
      <c r="H618" s="167">
        <v>1.0</v>
      </c>
      <c r="I618" s="168">
        <v>1.0</v>
      </c>
      <c r="J618" s="167">
        <v>1.0</v>
      </c>
      <c r="K618" s="167">
        <v>1.0</v>
      </c>
      <c r="L618" s="167">
        <v>1.0</v>
      </c>
      <c r="M618" s="167">
        <v>1.0</v>
      </c>
      <c r="N618" s="167">
        <v>1.0</v>
      </c>
      <c r="O618" s="169">
        <v>1.0</v>
      </c>
      <c r="P618" s="166">
        <v>1.0</v>
      </c>
      <c r="Q618" s="167">
        <v>1.0</v>
      </c>
      <c r="R618" s="167">
        <v>1.0</v>
      </c>
      <c r="S618" s="167">
        <v>1.0</v>
      </c>
      <c r="T618" s="168">
        <v>1.0</v>
      </c>
      <c r="U618" s="170">
        <f t="shared" si="150"/>
        <v>1</v>
      </c>
      <c r="V618" s="170">
        <f t="shared" si="151"/>
        <v>1</v>
      </c>
    </row>
    <row r="619">
      <c r="A619" s="163">
        <v>6222003.0</v>
      </c>
      <c r="B619" s="164" t="s">
        <v>1488</v>
      </c>
      <c r="C619" s="165">
        <v>7.0</v>
      </c>
      <c r="D619" s="166">
        <v>1.0</v>
      </c>
      <c r="E619" s="167">
        <v>1.0</v>
      </c>
      <c r="F619" s="167">
        <v>1.0</v>
      </c>
      <c r="G619" s="167">
        <v>1.0</v>
      </c>
      <c r="H619" s="167">
        <v>1.0</v>
      </c>
      <c r="I619" s="168">
        <v>1.0</v>
      </c>
      <c r="J619" s="167">
        <v>1.0</v>
      </c>
      <c r="K619" s="167">
        <v>1.0</v>
      </c>
      <c r="L619" s="167">
        <v>1.0</v>
      </c>
      <c r="M619" s="167">
        <v>1.0</v>
      </c>
      <c r="N619" s="167">
        <v>1.0</v>
      </c>
      <c r="O619" s="169">
        <v>1.0</v>
      </c>
      <c r="P619" s="166">
        <v>1.0</v>
      </c>
      <c r="Q619" s="167">
        <v>1.0</v>
      </c>
      <c r="R619" s="167">
        <v>1.0</v>
      </c>
      <c r="S619" s="167">
        <v>1.0</v>
      </c>
      <c r="T619" s="168">
        <v>1.0</v>
      </c>
      <c r="U619" s="170">
        <f t="shared" si="150"/>
        <v>1</v>
      </c>
      <c r="V619" s="170">
        <f t="shared" si="151"/>
        <v>1</v>
      </c>
    </row>
    <row r="620">
      <c r="A620" s="149">
        <v>6230000.0</v>
      </c>
      <c r="B620" s="150" t="s">
        <v>1894</v>
      </c>
      <c r="C620" s="151">
        <v>3.0</v>
      </c>
      <c r="D620" s="218"/>
      <c r="E620" s="153"/>
      <c r="F620" s="153"/>
      <c r="G620" s="153"/>
      <c r="H620" s="153"/>
      <c r="I620" s="154"/>
      <c r="J620" s="153"/>
      <c r="K620" s="153"/>
      <c r="L620" s="153"/>
      <c r="M620" s="153"/>
      <c r="N620" s="153"/>
      <c r="O620" s="155"/>
      <c r="P620" s="152"/>
      <c r="Q620" s="153"/>
      <c r="R620" s="153"/>
      <c r="S620" s="153"/>
      <c r="T620" s="154"/>
    </row>
    <row r="621">
      <c r="A621" s="163">
        <v>6230001.0</v>
      </c>
      <c r="B621" s="164" t="s">
        <v>1491</v>
      </c>
      <c r="C621" s="165">
        <v>7.0</v>
      </c>
      <c r="D621" s="166">
        <v>1.0</v>
      </c>
      <c r="E621" s="167">
        <v>1.0</v>
      </c>
      <c r="F621" s="167">
        <v>1.0</v>
      </c>
      <c r="G621" s="167">
        <v>1.0</v>
      </c>
      <c r="H621" s="167">
        <v>1.0</v>
      </c>
      <c r="I621" s="168">
        <v>1.0</v>
      </c>
      <c r="J621" s="167">
        <v>1.0</v>
      </c>
      <c r="K621" s="167">
        <v>1.0</v>
      </c>
      <c r="L621" s="167">
        <v>1.0</v>
      </c>
      <c r="M621" s="167">
        <v>1.0</v>
      </c>
      <c r="N621" s="167">
        <v>1.0</v>
      </c>
      <c r="O621" s="169">
        <v>1.0</v>
      </c>
      <c r="P621" s="166">
        <v>1.0</v>
      </c>
      <c r="Q621" s="167">
        <v>1.0</v>
      </c>
      <c r="R621" s="167">
        <v>1.0</v>
      </c>
      <c r="S621" s="167">
        <v>1.0</v>
      </c>
      <c r="T621" s="168">
        <v>1.0</v>
      </c>
      <c r="U621" s="170">
        <f>if(I621+O621&gt;0,1,"")</f>
        <v>1</v>
      </c>
      <c r="V621" s="170">
        <f>if(T621&gt;0,1,"")</f>
        <v>1</v>
      </c>
    </row>
    <row r="622">
      <c r="A622" s="142">
        <v>6300000.0</v>
      </c>
      <c r="B622" s="143" t="s">
        <v>1895</v>
      </c>
      <c r="C622" s="144">
        <v>2.0</v>
      </c>
      <c r="D622" s="145"/>
      <c r="E622" s="146"/>
      <c r="F622" s="146"/>
      <c r="G622" s="146"/>
      <c r="H622" s="146"/>
      <c r="I622" s="147"/>
      <c r="J622" s="146"/>
      <c r="K622" s="146"/>
      <c r="L622" s="146"/>
      <c r="M622" s="146"/>
      <c r="N622" s="146"/>
      <c r="O622" s="148"/>
      <c r="P622" s="145"/>
      <c r="Q622" s="146"/>
      <c r="R622" s="146"/>
      <c r="S622" s="146"/>
      <c r="T622" s="147"/>
    </row>
    <row r="623">
      <c r="A623" s="149">
        <v>6310000.0</v>
      </c>
      <c r="B623" s="150" t="s">
        <v>1896</v>
      </c>
      <c r="C623" s="151">
        <v>3.0</v>
      </c>
      <c r="D623" s="152"/>
      <c r="E623" s="153"/>
      <c r="F623" s="153"/>
      <c r="G623" s="153"/>
      <c r="H623" s="153"/>
      <c r="I623" s="154"/>
      <c r="J623" s="153"/>
      <c r="K623" s="153"/>
      <c r="L623" s="153"/>
      <c r="M623" s="153"/>
      <c r="N623" s="153"/>
      <c r="O623" s="155"/>
      <c r="P623" s="152"/>
      <c r="Q623" s="153"/>
      <c r="R623" s="153"/>
      <c r="S623" s="153"/>
      <c r="T623" s="154"/>
    </row>
    <row r="624">
      <c r="A624" s="156">
        <v>6311000.0</v>
      </c>
      <c r="B624" s="157" t="s">
        <v>1493</v>
      </c>
      <c r="C624" s="158">
        <v>4.0</v>
      </c>
      <c r="D624" s="220"/>
      <c r="E624" s="160"/>
      <c r="F624" s="160"/>
      <c r="G624" s="160"/>
      <c r="H624" s="160"/>
      <c r="I624" s="161"/>
      <c r="J624" s="160"/>
      <c r="K624" s="160"/>
      <c r="L624" s="160"/>
      <c r="M624" s="160"/>
      <c r="N624" s="160"/>
      <c r="O624" s="162"/>
      <c r="P624" s="159"/>
      <c r="Q624" s="160"/>
      <c r="R624" s="160"/>
      <c r="S624" s="160"/>
      <c r="T624" s="161"/>
    </row>
    <row r="625">
      <c r="A625" s="163">
        <v>6311001.0</v>
      </c>
      <c r="B625" s="164" t="s">
        <v>1493</v>
      </c>
      <c r="C625" s="165">
        <v>7.0</v>
      </c>
      <c r="D625" s="166">
        <v>1.0</v>
      </c>
      <c r="E625" s="167">
        <v>1.0</v>
      </c>
      <c r="F625" s="167">
        <v>1.0</v>
      </c>
      <c r="G625" s="167">
        <v>1.0</v>
      </c>
      <c r="H625" s="167">
        <v>1.0</v>
      </c>
      <c r="I625" s="168">
        <v>1.0</v>
      </c>
      <c r="J625" s="167">
        <v>1.0</v>
      </c>
      <c r="K625" s="167">
        <v>1.0</v>
      </c>
      <c r="L625" s="167">
        <v>1.0</v>
      </c>
      <c r="M625" s="167">
        <v>1.0</v>
      </c>
      <c r="N625" s="167">
        <v>1.0</v>
      </c>
      <c r="O625" s="169">
        <v>1.0</v>
      </c>
      <c r="P625" s="166">
        <v>1.0</v>
      </c>
      <c r="Q625" s="167">
        <v>1.0</v>
      </c>
      <c r="R625" s="167">
        <v>1.0</v>
      </c>
      <c r="S625" s="167">
        <v>1.0</v>
      </c>
      <c r="T625" s="168">
        <v>1.0</v>
      </c>
      <c r="U625" s="170">
        <f t="shared" ref="U625:U626" si="152">if(I625+O625&gt;0,1,"")</f>
        <v>1</v>
      </c>
      <c r="V625" s="170">
        <f t="shared" ref="V625:V626" si="153">if(T625&gt;0,1,"")</f>
        <v>1</v>
      </c>
    </row>
    <row r="626">
      <c r="A626" s="163">
        <v>6311002.0</v>
      </c>
      <c r="B626" s="164" t="s">
        <v>1496</v>
      </c>
      <c r="C626" s="165">
        <v>7.0</v>
      </c>
      <c r="D626" s="166">
        <v>1.0</v>
      </c>
      <c r="E626" s="167">
        <v>1.0</v>
      </c>
      <c r="F626" s="167">
        <v>1.0</v>
      </c>
      <c r="G626" s="167">
        <v>1.0</v>
      </c>
      <c r="H626" s="167">
        <v>1.0</v>
      </c>
      <c r="I626" s="168">
        <v>1.0</v>
      </c>
      <c r="J626" s="167">
        <v>1.0</v>
      </c>
      <c r="K626" s="167">
        <v>1.0</v>
      </c>
      <c r="L626" s="167">
        <v>1.0</v>
      </c>
      <c r="M626" s="167">
        <v>1.0</v>
      </c>
      <c r="N626" s="167">
        <v>1.0</v>
      </c>
      <c r="O626" s="169">
        <v>1.0</v>
      </c>
      <c r="P626" s="166">
        <v>1.0</v>
      </c>
      <c r="Q626" s="167">
        <v>1.0</v>
      </c>
      <c r="R626" s="167">
        <v>1.0</v>
      </c>
      <c r="S626" s="167">
        <v>1.0</v>
      </c>
      <c r="T626" s="168">
        <v>1.0</v>
      </c>
      <c r="U626" s="170">
        <f t="shared" si="152"/>
        <v>1</v>
      </c>
      <c r="V626" s="170">
        <f t="shared" si="153"/>
        <v>1</v>
      </c>
    </row>
    <row r="627">
      <c r="A627" s="136">
        <v>7000000.0</v>
      </c>
      <c r="B627" s="137" t="s">
        <v>1897</v>
      </c>
      <c r="C627" s="131">
        <v>1.0</v>
      </c>
      <c r="D627" s="138"/>
      <c r="E627" s="139"/>
      <c r="F627" s="139"/>
      <c r="G627" s="139"/>
      <c r="H627" s="139"/>
      <c r="I627" s="140"/>
      <c r="J627" s="139"/>
      <c r="K627" s="139"/>
      <c r="L627" s="139"/>
      <c r="M627" s="139"/>
      <c r="N627" s="139"/>
      <c r="O627" s="141"/>
      <c r="P627" s="138"/>
      <c r="Q627" s="139"/>
      <c r="R627" s="139"/>
      <c r="S627" s="139"/>
      <c r="T627" s="140"/>
    </row>
    <row r="628">
      <c r="A628" s="142">
        <v>7100000.0</v>
      </c>
      <c r="B628" s="143" t="s">
        <v>1898</v>
      </c>
      <c r="C628" s="144">
        <v>2.0</v>
      </c>
      <c r="D628" s="219"/>
      <c r="E628" s="146"/>
      <c r="F628" s="146"/>
      <c r="G628" s="146"/>
      <c r="H628" s="146"/>
      <c r="I628" s="147"/>
      <c r="J628" s="146"/>
      <c r="K628" s="146"/>
      <c r="L628" s="146"/>
      <c r="M628" s="146"/>
      <c r="N628" s="146"/>
      <c r="O628" s="148"/>
      <c r="P628" s="145"/>
      <c r="Q628" s="146"/>
      <c r="R628" s="146"/>
      <c r="S628" s="146"/>
      <c r="T628" s="147"/>
    </row>
    <row r="629">
      <c r="A629" s="163">
        <v>7100001.0</v>
      </c>
      <c r="B629" s="164" t="s">
        <v>1498</v>
      </c>
      <c r="C629" s="165">
        <v>7.0</v>
      </c>
      <c r="D629" s="166">
        <v>1.0</v>
      </c>
      <c r="E629" s="167">
        <v>1.0</v>
      </c>
      <c r="F629" s="167">
        <v>1.0</v>
      </c>
      <c r="G629" s="167">
        <v>1.0</v>
      </c>
      <c r="H629" s="167">
        <v>1.0</v>
      </c>
      <c r="I629" s="168">
        <v>1.0</v>
      </c>
      <c r="J629" s="167">
        <v>1.0</v>
      </c>
      <c r="K629" s="167">
        <v>1.0</v>
      </c>
      <c r="L629" s="167">
        <v>1.0</v>
      </c>
      <c r="M629" s="167">
        <v>1.0</v>
      </c>
      <c r="N629" s="167">
        <v>1.0</v>
      </c>
      <c r="O629" s="169">
        <v>1.0</v>
      </c>
      <c r="P629" s="166">
        <v>1.0</v>
      </c>
      <c r="Q629" s="167">
        <v>1.0</v>
      </c>
      <c r="R629" s="167">
        <v>1.0</v>
      </c>
      <c r="S629" s="167">
        <v>1.0</v>
      </c>
      <c r="T629" s="168">
        <v>1.0</v>
      </c>
      <c r="U629" s="170">
        <f>if(I629+O629&gt;0,1,"")</f>
        <v>1</v>
      </c>
      <c r="V629" s="170">
        <f>if(T629&gt;0,1,"")</f>
        <v>1</v>
      </c>
    </row>
    <row r="630">
      <c r="A630" s="142">
        <v>7200000.0</v>
      </c>
      <c r="B630" s="143" t="s">
        <v>1899</v>
      </c>
      <c r="C630" s="144">
        <v>2.0</v>
      </c>
      <c r="D630" s="145"/>
      <c r="E630" s="146"/>
      <c r="F630" s="146"/>
      <c r="G630" s="146"/>
      <c r="H630" s="146"/>
      <c r="I630" s="147"/>
      <c r="J630" s="146"/>
      <c r="K630" s="146"/>
      <c r="L630" s="146"/>
      <c r="M630" s="146"/>
      <c r="N630" s="146"/>
      <c r="O630" s="148"/>
      <c r="P630" s="145"/>
      <c r="Q630" s="146"/>
      <c r="R630" s="146"/>
      <c r="S630" s="146"/>
      <c r="T630" s="147"/>
    </row>
    <row r="631">
      <c r="A631" s="149">
        <v>7210000.0</v>
      </c>
      <c r="B631" s="150" t="s">
        <v>1900</v>
      </c>
      <c r="C631" s="151">
        <v>3.0</v>
      </c>
      <c r="D631" s="218"/>
      <c r="E631" s="153"/>
      <c r="F631" s="153"/>
      <c r="G631" s="153"/>
      <c r="H631" s="153"/>
      <c r="I631" s="154"/>
      <c r="J631" s="153"/>
      <c r="K631" s="153"/>
      <c r="L631" s="153"/>
      <c r="M631" s="153"/>
      <c r="N631" s="153"/>
      <c r="O631" s="155"/>
      <c r="P631" s="152"/>
      <c r="Q631" s="153"/>
      <c r="R631" s="153"/>
      <c r="S631" s="153"/>
      <c r="T631" s="154"/>
    </row>
    <row r="632">
      <c r="A632" s="163">
        <v>7210001.0</v>
      </c>
      <c r="B632" s="164" t="s">
        <v>1503</v>
      </c>
      <c r="C632" s="165">
        <v>7.0</v>
      </c>
      <c r="D632" s="166">
        <v>1.0</v>
      </c>
      <c r="E632" s="167">
        <v>1.0</v>
      </c>
      <c r="F632" s="167">
        <v>1.0</v>
      </c>
      <c r="G632" s="167">
        <v>1.0</v>
      </c>
      <c r="H632" s="167">
        <v>1.0</v>
      </c>
      <c r="I632" s="168">
        <v>1.0</v>
      </c>
      <c r="J632" s="167">
        <v>1.0</v>
      </c>
      <c r="K632" s="167">
        <v>1.0</v>
      </c>
      <c r="L632" s="167">
        <v>1.0</v>
      </c>
      <c r="M632" s="167">
        <v>1.0</v>
      </c>
      <c r="N632" s="167">
        <v>1.0</v>
      </c>
      <c r="O632" s="169">
        <v>1.0</v>
      </c>
      <c r="P632" s="166">
        <v>1.0</v>
      </c>
      <c r="Q632" s="167">
        <v>1.0</v>
      </c>
      <c r="R632" s="167">
        <v>1.0</v>
      </c>
      <c r="S632" s="167">
        <v>1.0</v>
      </c>
      <c r="T632" s="168">
        <v>1.0</v>
      </c>
      <c r="U632" s="170">
        <f>if(I632+O632&gt;0,1,"")</f>
        <v>1</v>
      </c>
      <c r="V632" s="170">
        <f>if(T632&gt;0,1,"")</f>
        <v>1</v>
      </c>
    </row>
    <row r="633">
      <c r="A633" s="149">
        <v>7220000.0</v>
      </c>
      <c r="B633" s="150" t="s">
        <v>1901</v>
      </c>
      <c r="C633" s="151">
        <v>3.0</v>
      </c>
      <c r="D633" s="218"/>
      <c r="E633" s="153"/>
      <c r="F633" s="153"/>
      <c r="G633" s="153"/>
      <c r="H633" s="153"/>
      <c r="I633" s="154"/>
      <c r="J633" s="153"/>
      <c r="K633" s="153"/>
      <c r="L633" s="153"/>
      <c r="M633" s="153"/>
      <c r="N633" s="153"/>
      <c r="O633" s="155"/>
      <c r="P633" s="152"/>
      <c r="Q633" s="153"/>
      <c r="R633" s="153"/>
      <c r="S633" s="153"/>
      <c r="T633" s="154"/>
    </row>
    <row r="634">
      <c r="A634" s="163">
        <v>7220001.0</v>
      </c>
      <c r="B634" s="164" t="s">
        <v>1506</v>
      </c>
      <c r="C634" s="165">
        <v>7.0</v>
      </c>
      <c r="D634" s="166">
        <v>1.0</v>
      </c>
      <c r="E634" s="167">
        <v>1.0</v>
      </c>
      <c r="F634" s="167">
        <v>1.0</v>
      </c>
      <c r="G634" s="167">
        <v>1.0</v>
      </c>
      <c r="H634" s="167">
        <v>1.0</v>
      </c>
      <c r="I634" s="168">
        <v>1.0</v>
      </c>
      <c r="J634" s="178"/>
      <c r="K634" s="178"/>
      <c r="L634" s="178"/>
      <c r="M634" s="178"/>
      <c r="N634" s="178"/>
      <c r="O634" s="179"/>
      <c r="P634" s="180"/>
      <c r="Q634" s="178"/>
      <c r="R634" s="178"/>
      <c r="S634" s="178"/>
      <c r="T634" s="181"/>
      <c r="U634" s="170">
        <f>if(I634+O634&gt;0,1,"")</f>
        <v>1</v>
      </c>
      <c r="V634" s="170" t="str">
        <f>if(T634&gt;0,1,"")</f>
        <v/>
      </c>
    </row>
    <row r="635">
      <c r="A635" s="149">
        <v>7230000.0</v>
      </c>
      <c r="B635" s="150" t="s">
        <v>1902</v>
      </c>
      <c r="C635" s="151">
        <v>3.0</v>
      </c>
      <c r="D635" s="218"/>
      <c r="E635" s="153"/>
      <c r="F635" s="153"/>
      <c r="G635" s="153"/>
      <c r="H635" s="153"/>
      <c r="I635" s="154"/>
      <c r="J635" s="153"/>
      <c r="K635" s="153"/>
      <c r="L635" s="153"/>
      <c r="M635" s="153"/>
      <c r="N635" s="153"/>
      <c r="O635" s="155"/>
      <c r="P635" s="152"/>
      <c r="Q635" s="153"/>
      <c r="R635" s="153"/>
      <c r="S635" s="153"/>
      <c r="T635" s="154"/>
    </row>
    <row r="636">
      <c r="A636" s="163">
        <v>7230001.0</v>
      </c>
      <c r="B636" s="164" t="s">
        <v>1509</v>
      </c>
      <c r="C636" s="165">
        <v>7.0</v>
      </c>
      <c r="D636" s="166">
        <v>1.0</v>
      </c>
      <c r="E636" s="167">
        <v>1.0</v>
      </c>
      <c r="F636" s="167">
        <v>1.0</v>
      </c>
      <c r="G636" s="167">
        <v>1.0</v>
      </c>
      <c r="H636" s="167">
        <v>1.0</v>
      </c>
      <c r="I636" s="168">
        <v>1.0</v>
      </c>
      <c r="J636" s="167">
        <v>1.0</v>
      </c>
      <c r="K636" s="167">
        <v>1.0</v>
      </c>
      <c r="L636" s="167">
        <v>1.0</v>
      </c>
      <c r="M636" s="167">
        <v>1.0</v>
      </c>
      <c r="N636" s="167">
        <v>1.0</v>
      </c>
      <c r="O636" s="169">
        <v>1.0</v>
      </c>
      <c r="P636" s="166">
        <v>1.0</v>
      </c>
      <c r="Q636" s="167">
        <v>1.0</v>
      </c>
      <c r="R636" s="167">
        <v>1.0</v>
      </c>
      <c r="S636" s="167">
        <v>1.0</v>
      </c>
      <c r="T636" s="168">
        <v>1.0</v>
      </c>
      <c r="U636" s="170">
        <f>if(I636+O636&gt;0,1,"")</f>
        <v>1</v>
      </c>
      <c r="V636" s="170">
        <f>if(T636&gt;0,1,"")</f>
        <v>1</v>
      </c>
    </row>
    <row r="637">
      <c r="A637" s="136">
        <v>8000000.0</v>
      </c>
      <c r="B637" s="137" t="s">
        <v>1903</v>
      </c>
      <c r="C637" s="224">
        <v>1.0</v>
      </c>
      <c r="D637" s="138"/>
      <c r="E637" s="139"/>
      <c r="F637" s="139"/>
      <c r="G637" s="139"/>
      <c r="H637" s="139"/>
      <c r="I637" s="140"/>
      <c r="J637" s="139"/>
      <c r="K637" s="139"/>
      <c r="L637" s="139"/>
      <c r="M637" s="139"/>
      <c r="N637" s="139"/>
      <c r="O637" s="141"/>
      <c r="P637" s="138"/>
      <c r="Q637" s="139"/>
      <c r="R637" s="139"/>
      <c r="S637" s="139"/>
      <c r="T637" s="140"/>
    </row>
    <row r="638">
      <c r="A638" s="142">
        <v>8100000.0</v>
      </c>
      <c r="B638" s="143" t="s">
        <v>1904</v>
      </c>
      <c r="C638" s="224">
        <v>2.0</v>
      </c>
      <c r="D638" s="145"/>
      <c r="E638" s="146"/>
      <c r="F638" s="146"/>
      <c r="G638" s="146"/>
      <c r="H638" s="146"/>
      <c r="I638" s="147"/>
      <c r="J638" s="146"/>
      <c r="K638" s="146"/>
      <c r="L638" s="146"/>
      <c r="M638" s="146"/>
      <c r="N638" s="146"/>
      <c r="O638" s="148"/>
      <c r="P638" s="145"/>
      <c r="Q638" s="146"/>
      <c r="R638" s="146"/>
      <c r="S638" s="146"/>
      <c r="T638" s="147"/>
    </row>
    <row r="639">
      <c r="A639" s="142">
        <v>8200000.0</v>
      </c>
      <c r="B639" s="143" t="s">
        <v>1905</v>
      </c>
      <c r="C639" s="224">
        <v>2.0</v>
      </c>
      <c r="D639" s="145"/>
      <c r="E639" s="146"/>
      <c r="F639" s="146"/>
      <c r="G639" s="146"/>
      <c r="H639" s="146"/>
      <c r="I639" s="147"/>
      <c r="J639" s="146"/>
      <c r="K639" s="146"/>
      <c r="L639" s="146"/>
      <c r="M639" s="146"/>
      <c r="N639" s="146"/>
      <c r="O639" s="148"/>
      <c r="P639" s="145"/>
      <c r="Q639" s="146"/>
      <c r="R639" s="146"/>
      <c r="S639" s="146"/>
      <c r="T639" s="147"/>
    </row>
    <row r="640">
      <c r="A640" s="136">
        <v>9000000.0</v>
      </c>
      <c r="B640" s="137" t="s">
        <v>1906</v>
      </c>
      <c r="C640" s="224">
        <v>1.0</v>
      </c>
      <c r="D640" s="138"/>
      <c r="E640" s="139"/>
      <c r="F640" s="139"/>
      <c r="G640" s="139"/>
      <c r="H640" s="139"/>
      <c r="I640" s="140"/>
      <c r="J640" s="139"/>
      <c r="K640" s="139"/>
      <c r="L640" s="139"/>
      <c r="M640" s="139"/>
      <c r="N640" s="139"/>
      <c r="O640" s="141"/>
      <c r="P640" s="138"/>
      <c r="Q640" s="139"/>
      <c r="R640" s="139"/>
      <c r="S640" s="139"/>
      <c r="T640" s="140"/>
    </row>
    <row r="641">
      <c r="A641" s="142">
        <v>9100000.0</v>
      </c>
      <c r="B641" s="143" t="s">
        <v>1907</v>
      </c>
      <c r="C641" s="224">
        <v>2.0</v>
      </c>
      <c r="D641" s="145"/>
      <c r="E641" s="146"/>
      <c r="F641" s="146"/>
      <c r="G641" s="146"/>
      <c r="H641" s="146"/>
      <c r="I641" s="147"/>
      <c r="J641" s="146"/>
      <c r="K641" s="146"/>
      <c r="L641" s="146"/>
      <c r="M641" s="146"/>
      <c r="N641" s="146"/>
      <c r="O641" s="148"/>
      <c r="P641" s="145"/>
      <c r="Q641" s="146"/>
      <c r="R641" s="146"/>
      <c r="S641" s="146"/>
      <c r="T641" s="147"/>
    </row>
    <row r="642">
      <c r="A642" s="142">
        <v>9200000.0</v>
      </c>
      <c r="B642" s="143" t="s">
        <v>1908</v>
      </c>
      <c r="C642" s="224">
        <v>2.0</v>
      </c>
      <c r="D642" s="145"/>
      <c r="E642" s="146"/>
      <c r="F642" s="146"/>
      <c r="G642" s="146"/>
      <c r="H642" s="146"/>
      <c r="I642" s="147"/>
      <c r="J642" s="146"/>
      <c r="K642" s="146"/>
      <c r="L642" s="146"/>
      <c r="M642" s="146"/>
      <c r="N642" s="146"/>
      <c r="O642" s="148"/>
      <c r="P642" s="145"/>
      <c r="Q642" s="146"/>
      <c r="R642" s="146"/>
      <c r="S642" s="146"/>
      <c r="T642" s="147"/>
    </row>
    <row r="643">
      <c r="A643" s="142">
        <v>9300000.0</v>
      </c>
      <c r="B643" s="143" t="s">
        <v>1909</v>
      </c>
      <c r="C643" s="224">
        <v>2.0</v>
      </c>
      <c r="D643" s="145"/>
      <c r="E643" s="146"/>
      <c r="F643" s="146"/>
      <c r="G643" s="146"/>
      <c r="H643" s="146"/>
      <c r="I643" s="147"/>
      <c r="J643" s="146"/>
      <c r="K643" s="146"/>
      <c r="L643" s="146"/>
      <c r="M643" s="146"/>
      <c r="N643" s="146"/>
      <c r="O643" s="148"/>
      <c r="P643" s="145"/>
      <c r="Q643" s="146"/>
      <c r="R643" s="146"/>
      <c r="S643" s="146"/>
      <c r="T643" s="147"/>
    </row>
    <row r="644">
      <c r="A644" s="142">
        <v>9400000.0</v>
      </c>
      <c r="B644" s="143" t="s">
        <v>1910</v>
      </c>
      <c r="C644" s="224">
        <v>2.0</v>
      </c>
      <c r="D644" s="145"/>
      <c r="E644" s="146"/>
      <c r="F644" s="146"/>
      <c r="G644" s="146"/>
      <c r="H644" s="146"/>
      <c r="I644" s="147"/>
      <c r="J644" s="146"/>
      <c r="K644" s="146"/>
      <c r="L644" s="146"/>
      <c r="M644" s="146"/>
      <c r="N644" s="146"/>
      <c r="O644" s="148"/>
      <c r="P644" s="145"/>
      <c r="Q644" s="146"/>
      <c r="R644" s="146"/>
      <c r="S644" s="146"/>
      <c r="T644" s="147"/>
    </row>
    <row r="645">
      <c r="A645" s="149">
        <v>9510000.0</v>
      </c>
      <c r="B645" s="150" t="s">
        <v>1911</v>
      </c>
      <c r="C645" s="151">
        <v>3.0</v>
      </c>
      <c r="D645" s="152"/>
      <c r="E645" s="153"/>
      <c r="F645" s="153"/>
      <c r="G645" s="153"/>
      <c r="H645" s="153"/>
      <c r="I645" s="154"/>
      <c r="J645" s="153"/>
      <c r="K645" s="153"/>
      <c r="L645" s="153"/>
      <c r="M645" s="153"/>
      <c r="N645" s="153"/>
      <c r="O645" s="155"/>
      <c r="P645" s="152"/>
      <c r="Q645" s="153"/>
      <c r="R645" s="153"/>
      <c r="S645" s="153"/>
      <c r="T645" s="154"/>
    </row>
    <row r="646">
      <c r="A646" s="149">
        <v>9520000.0</v>
      </c>
      <c r="B646" s="150" t="s">
        <v>1912</v>
      </c>
      <c r="C646" s="225">
        <v>3.0</v>
      </c>
      <c r="D646" s="218"/>
      <c r="E646" s="153"/>
      <c r="F646" s="153"/>
      <c r="G646" s="153"/>
      <c r="H646" s="153"/>
      <c r="I646" s="154"/>
      <c r="J646" s="153"/>
      <c r="K646" s="153"/>
      <c r="L646" s="153"/>
      <c r="M646" s="153"/>
      <c r="N646" s="153"/>
      <c r="O646" s="155"/>
      <c r="P646" s="152"/>
      <c r="Q646" s="153"/>
      <c r="R646" s="153"/>
      <c r="S646" s="153"/>
      <c r="T646" s="154"/>
    </row>
    <row r="647">
      <c r="A647" s="226"/>
      <c r="I647" s="227"/>
      <c r="O647" s="227"/>
      <c r="T647" s="227"/>
    </row>
    <row r="648">
      <c r="A648" s="228"/>
      <c r="C648" s="228"/>
      <c r="E648" s="228"/>
      <c r="G648" s="228"/>
      <c r="I648" s="228"/>
      <c r="K648" s="228"/>
      <c r="M648" s="228"/>
      <c r="O648" s="228"/>
      <c r="Q648" s="228"/>
      <c r="S648" s="228"/>
      <c r="U648" s="228"/>
    </row>
    <row r="649">
      <c r="A649" s="226"/>
      <c r="I649" s="227"/>
      <c r="O649" s="227"/>
      <c r="T649" s="227"/>
    </row>
    <row r="650">
      <c r="A650" s="226"/>
      <c r="I650" s="227"/>
      <c r="O650" s="227"/>
      <c r="T650" s="227"/>
    </row>
    <row r="651">
      <c r="A651" s="226"/>
      <c r="I651" s="227"/>
      <c r="O651" s="227"/>
      <c r="T651" s="227"/>
    </row>
    <row r="652">
      <c r="A652" s="226"/>
      <c r="I652" s="227"/>
      <c r="O652" s="227"/>
      <c r="T652" s="227"/>
    </row>
    <row r="653">
      <c r="A653" s="226"/>
      <c r="I653" s="227"/>
      <c r="O653" s="227"/>
      <c r="T653" s="227"/>
    </row>
    <row r="654">
      <c r="A654" s="226"/>
      <c r="I654" s="227"/>
      <c r="O654" s="227"/>
      <c r="T654" s="227"/>
    </row>
    <row r="655">
      <c r="A655" s="226"/>
      <c r="I655" s="227"/>
      <c r="O655" s="227"/>
      <c r="T655" s="227"/>
    </row>
    <row r="656">
      <c r="A656" s="226"/>
      <c r="I656" s="227"/>
      <c r="O656" s="227"/>
      <c r="T656" s="227"/>
    </row>
    <row r="657">
      <c r="A657" s="226"/>
      <c r="I657" s="227"/>
      <c r="O657" s="227"/>
      <c r="T657" s="227"/>
    </row>
    <row r="658">
      <c r="A658" s="226"/>
      <c r="I658" s="227"/>
      <c r="O658" s="227"/>
      <c r="T658" s="227"/>
    </row>
    <row r="659">
      <c r="A659" s="226"/>
      <c r="I659" s="227"/>
      <c r="O659" s="227"/>
      <c r="T659" s="227"/>
    </row>
    <row r="660">
      <c r="A660" s="226"/>
      <c r="I660" s="227"/>
      <c r="O660" s="227"/>
      <c r="T660" s="227"/>
    </row>
    <row r="661">
      <c r="A661" s="226"/>
      <c r="I661" s="227"/>
      <c r="O661" s="227"/>
      <c r="T661" s="227"/>
    </row>
    <row r="662">
      <c r="A662" s="226"/>
      <c r="I662" s="227"/>
      <c r="O662" s="227"/>
      <c r="T662" s="227"/>
    </row>
    <row r="663">
      <c r="A663" s="226"/>
      <c r="I663" s="227"/>
      <c r="O663" s="227"/>
      <c r="T663" s="227"/>
    </row>
    <row r="664">
      <c r="A664" s="226"/>
      <c r="I664" s="227"/>
      <c r="O664" s="227"/>
      <c r="T664" s="227"/>
    </row>
    <row r="665">
      <c r="A665" s="226"/>
      <c r="I665" s="227"/>
      <c r="O665" s="227"/>
      <c r="T665" s="227"/>
    </row>
    <row r="666">
      <c r="A666" s="226"/>
      <c r="I666" s="227"/>
      <c r="O666" s="227"/>
      <c r="T666" s="227"/>
    </row>
    <row r="667">
      <c r="A667" s="226"/>
      <c r="I667" s="227"/>
      <c r="O667" s="227"/>
      <c r="T667" s="227"/>
    </row>
    <row r="668">
      <c r="A668" s="226"/>
      <c r="I668" s="227"/>
      <c r="O668" s="227"/>
      <c r="T668" s="227"/>
    </row>
    <row r="669">
      <c r="A669" s="226"/>
      <c r="I669" s="227"/>
      <c r="O669" s="227"/>
      <c r="T669" s="227"/>
    </row>
    <row r="670">
      <c r="A670" s="226"/>
      <c r="I670" s="227"/>
      <c r="O670" s="227"/>
      <c r="T670" s="227"/>
    </row>
    <row r="671">
      <c r="A671" s="226"/>
      <c r="I671" s="227"/>
      <c r="O671" s="227"/>
      <c r="T671" s="227"/>
    </row>
    <row r="672">
      <c r="A672" s="226"/>
      <c r="I672" s="227"/>
      <c r="O672" s="227"/>
      <c r="T672" s="227"/>
    </row>
    <row r="673">
      <c r="A673" s="226"/>
      <c r="I673" s="227"/>
      <c r="O673" s="227"/>
      <c r="T673" s="227"/>
    </row>
    <row r="674">
      <c r="A674" s="226"/>
      <c r="I674" s="227"/>
      <c r="O674" s="227"/>
      <c r="T674" s="227"/>
    </row>
    <row r="675">
      <c r="A675" s="226"/>
      <c r="I675" s="227"/>
      <c r="O675" s="227"/>
      <c r="T675" s="227"/>
    </row>
    <row r="676">
      <c r="A676" s="226"/>
      <c r="I676" s="227"/>
      <c r="O676" s="227"/>
      <c r="T676" s="227"/>
    </row>
    <row r="677">
      <c r="A677" s="226"/>
      <c r="I677" s="227"/>
      <c r="O677" s="227"/>
      <c r="T677" s="227"/>
    </row>
    <row r="678">
      <c r="A678" s="226"/>
      <c r="I678" s="227"/>
      <c r="O678" s="227"/>
      <c r="T678" s="227"/>
    </row>
    <row r="679">
      <c r="A679" s="226"/>
      <c r="I679" s="227"/>
      <c r="O679" s="227"/>
      <c r="T679" s="227"/>
    </row>
    <row r="680">
      <c r="A680" s="226"/>
      <c r="I680" s="227"/>
      <c r="O680" s="227"/>
      <c r="T680" s="227"/>
    </row>
    <row r="681">
      <c r="A681" s="226"/>
      <c r="I681" s="227"/>
      <c r="O681" s="227"/>
      <c r="T681" s="227"/>
    </row>
    <row r="682">
      <c r="A682" s="226"/>
      <c r="I682" s="227"/>
      <c r="O682" s="227"/>
      <c r="T682" s="227"/>
    </row>
    <row r="683">
      <c r="A683" s="226"/>
      <c r="I683" s="227"/>
      <c r="O683" s="227"/>
      <c r="T683" s="227"/>
    </row>
    <row r="684">
      <c r="A684" s="226"/>
      <c r="I684" s="227"/>
      <c r="O684" s="227"/>
      <c r="T684" s="227"/>
    </row>
    <row r="685">
      <c r="A685" s="226"/>
      <c r="I685" s="227"/>
      <c r="O685" s="227"/>
      <c r="T685" s="227"/>
    </row>
    <row r="686">
      <c r="A686" s="226"/>
      <c r="I686" s="227"/>
      <c r="O686" s="227"/>
      <c r="T686" s="227"/>
    </row>
    <row r="687">
      <c r="A687" s="226"/>
      <c r="I687" s="227"/>
      <c r="O687" s="227"/>
      <c r="T687" s="227"/>
    </row>
    <row r="688">
      <c r="A688" s="226"/>
      <c r="I688" s="227"/>
      <c r="O688" s="227"/>
      <c r="T688" s="227"/>
    </row>
    <row r="689">
      <c r="A689" s="226"/>
      <c r="I689" s="227"/>
      <c r="O689" s="227"/>
      <c r="T689" s="227"/>
    </row>
    <row r="690">
      <c r="A690" s="226"/>
      <c r="I690" s="227"/>
      <c r="O690" s="227"/>
      <c r="T690" s="227"/>
    </row>
    <row r="691">
      <c r="A691" s="226"/>
      <c r="I691" s="227"/>
      <c r="O691" s="227"/>
      <c r="T691" s="227"/>
    </row>
    <row r="692">
      <c r="A692" s="226"/>
      <c r="I692" s="227"/>
      <c r="O692" s="227"/>
      <c r="T692" s="227"/>
    </row>
    <row r="693">
      <c r="A693" s="226"/>
      <c r="I693" s="227"/>
      <c r="O693" s="227"/>
      <c r="T693" s="227"/>
    </row>
    <row r="694">
      <c r="A694" s="226"/>
      <c r="I694" s="227"/>
      <c r="O694" s="227"/>
      <c r="T694" s="227"/>
    </row>
    <row r="695">
      <c r="A695" s="226"/>
      <c r="I695" s="227"/>
      <c r="O695" s="227"/>
      <c r="T695" s="227"/>
    </row>
    <row r="696">
      <c r="A696" s="226"/>
      <c r="I696" s="227"/>
      <c r="O696" s="227"/>
      <c r="T696" s="227"/>
    </row>
    <row r="697">
      <c r="A697" s="226"/>
      <c r="I697" s="227"/>
      <c r="O697" s="227"/>
      <c r="T697" s="227"/>
    </row>
    <row r="698">
      <c r="A698" s="226"/>
      <c r="I698" s="227"/>
      <c r="O698" s="227"/>
      <c r="T698" s="227"/>
    </row>
    <row r="699">
      <c r="A699" s="226"/>
      <c r="I699" s="227"/>
      <c r="O699" s="227"/>
      <c r="T699" s="227"/>
    </row>
    <row r="700">
      <c r="A700" s="226"/>
      <c r="I700" s="227"/>
      <c r="O700" s="227"/>
      <c r="T700" s="227"/>
    </row>
    <row r="701">
      <c r="A701" s="226"/>
      <c r="I701" s="227"/>
      <c r="O701" s="227"/>
      <c r="T701" s="227"/>
    </row>
    <row r="702">
      <c r="A702" s="226"/>
      <c r="I702" s="227"/>
      <c r="O702" s="227"/>
      <c r="T702" s="227"/>
    </row>
    <row r="703">
      <c r="A703" s="226"/>
      <c r="I703" s="227"/>
      <c r="O703" s="227"/>
      <c r="T703" s="227"/>
    </row>
    <row r="704">
      <c r="A704" s="226"/>
      <c r="I704" s="227"/>
      <c r="O704" s="227"/>
      <c r="T704" s="227"/>
    </row>
    <row r="705">
      <c r="A705" s="226"/>
      <c r="I705" s="227"/>
      <c r="O705" s="227"/>
      <c r="T705" s="227"/>
    </row>
    <row r="706">
      <c r="A706" s="226"/>
      <c r="I706" s="227"/>
      <c r="O706" s="227"/>
      <c r="T706" s="227"/>
    </row>
    <row r="707">
      <c r="A707" s="226"/>
      <c r="I707" s="227"/>
      <c r="O707" s="227"/>
      <c r="T707" s="227"/>
    </row>
    <row r="708">
      <c r="A708" s="226"/>
      <c r="I708" s="227"/>
      <c r="O708" s="227"/>
      <c r="T708" s="227"/>
    </row>
    <row r="709">
      <c r="A709" s="226"/>
      <c r="I709" s="227"/>
      <c r="O709" s="227"/>
      <c r="T709" s="227"/>
    </row>
    <row r="710">
      <c r="A710" s="226"/>
      <c r="I710" s="227"/>
      <c r="O710" s="227"/>
      <c r="T710" s="227"/>
    </row>
    <row r="711">
      <c r="A711" s="226"/>
      <c r="I711" s="227"/>
      <c r="O711" s="227"/>
      <c r="T711" s="227"/>
    </row>
    <row r="712">
      <c r="A712" s="226"/>
      <c r="I712" s="227"/>
      <c r="O712" s="227"/>
      <c r="T712" s="227"/>
    </row>
    <row r="713">
      <c r="A713" s="226"/>
      <c r="I713" s="227"/>
      <c r="O713" s="227"/>
      <c r="T713" s="227"/>
    </row>
    <row r="714">
      <c r="A714" s="226"/>
      <c r="I714" s="227"/>
      <c r="O714" s="227"/>
      <c r="T714" s="227"/>
    </row>
    <row r="715">
      <c r="A715" s="226"/>
      <c r="I715" s="227"/>
      <c r="O715" s="227"/>
      <c r="T715" s="227"/>
    </row>
    <row r="716">
      <c r="A716" s="226"/>
      <c r="I716" s="227"/>
      <c r="O716" s="227"/>
      <c r="T716" s="227"/>
    </row>
    <row r="717">
      <c r="A717" s="226"/>
      <c r="I717" s="227"/>
      <c r="O717" s="227"/>
      <c r="T717" s="227"/>
    </row>
    <row r="718">
      <c r="A718" s="226"/>
      <c r="I718" s="227"/>
      <c r="O718" s="227"/>
      <c r="T718" s="227"/>
    </row>
    <row r="719">
      <c r="A719" s="226"/>
      <c r="I719" s="227"/>
      <c r="O719" s="227"/>
      <c r="T719" s="227"/>
    </row>
    <row r="720">
      <c r="A720" s="226"/>
      <c r="I720" s="227"/>
      <c r="O720" s="227"/>
      <c r="T720" s="227"/>
    </row>
    <row r="721">
      <c r="A721" s="226"/>
      <c r="I721" s="227"/>
      <c r="O721" s="227"/>
      <c r="T721" s="227"/>
    </row>
    <row r="722">
      <c r="A722" s="226"/>
      <c r="I722" s="227"/>
      <c r="O722" s="227"/>
      <c r="T722" s="227"/>
    </row>
    <row r="723">
      <c r="A723" s="226"/>
      <c r="I723" s="227"/>
      <c r="O723" s="227"/>
      <c r="T723" s="227"/>
    </row>
    <row r="724">
      <c r="A724" s="226"/>
      <c r="I724" s="227"/>
      <c r="O724" s="227"/>
      <c r="T724" s="227"/>
    </row>
    <row r="725">
      <c r="A725" s="226"/>
      <c r="I725" s="227"/>
      <c r="O725" s="227"/>
      <c r="T725" s="227"/>
    </row>
    <row r="726">
      <c r="A726" s="226"/>
      <c r="I726" s="227"/>
      <c r="O726" s="227"/>
      <c r="T726" s="227"/>
    </row>
    <row r="727">
      <c r="A727" s="226"/>
      <c r="I727" s="227"/>
      <c r="O727" s="227"/>
      <c r="T727" s="227"/>
    </row>
    <row r="728">
      <c r="A728" s="226"/>
      <c r="I728" s="227"/>
      <c r="O728" s="227"/>
      <c r="T728" s="227"/>
    </row>
    <row r="729">
      <c r="A729" s="226"/>
      <c r="I729" s="227"/>
      <c r="O729" s="227"/>
      <c r="T729" s="227"/>
    </row>
    <row r="730">
      <c r="A730" s="226"/>
      <c r="I730" s="227"/>
      <c r="O730" s="227"/>
      <c r="T730" s="227"/>
    </row>
    <row r="731">
      <c r="A731" s="226"/>
      <c r="I731" s="227"/>
      <c r="O731" s="227"/>
      <c r="T731" s="227"/>
    </row>
    <row r="732">
      <c r="A732" s="226"/>
      <c r="I732" s="227"/>
      <c r="O732" s="227"/>
      <c r="T732" s="227"/>
    </row>
    <row r="733">
      <c r="A733" s="226"/>
      <c r="I733" s="227"/>
      <c r="O733" s="227"/>
      <c r="T733" s="227"/>
    </row>
    <row r="734">
      <c r="A734" s="226"/>
      <c r="I734" s="227"/>
      <c r="O734" s="227"/>
      <c r="T734" s="227"/>
    </row>
    <row r="735">
      <c r="A735" s="226"/>
      <c r="I735" s="227"/>
      <c r="O735" s="227"/>
      <c r="T735" s="227"/>
    </row>
    <row r="736">
      <c r="A736" s="226"/>
      <c r="I736" s="227"/>
      <c r="O736" s="227"/>
      <c r="T736" s="227"/>
    </row>
    <row r="737">
      <c r="A737" s="226"/>
      <c r="I737" s="227"/>
      <c r="O737" s="227"/>
      <c r="T737" s="227"/>
    </row>
    <row r="738">
      <c r="A738" s="226"/>
      <c r="I738" s="227"/>
      <c r="O738" s="227"/>
      <c r="T738" s="227"/>
    </row>
    <row r="739">
      <c r="A739" s="226"/>
      <c r="I739" s="227"/>
      <c r="O739" s="227"/>
      <c r="T739" s="227"/>
    </row>
    <row r="740">
      <c r="A740" s="226"/>
      <c r="I740" s="227"/>
      <c r="O740" s="227"/>
      <c r="T740" s="227"/>
    </row>
    <row r="741">
      <c r="A741" s="226"/>
      <c r="I741" s="227"/>
      <c r="O741" s="227"/>
      <c r="T741" s="227"/>
    </row>
    <row r="742">
      <c r="A742" s="226"/>
      <c r="I742" s="227"/>
      <c r="O742" s="227"/>
      <c r="T742" s="227"/>
    </row>
    <row r="743">
      <c r="A743" s="226"/>
      <c r="I743" s="227"/>
      <c r="O743" s="227"/>
      <c r="T743" s="227"/>
    </row>
    <row r="744">
      <c r="A744" s="226"/>
      <c r="I744" s="227"/>
      <c r="O744" s="227"/>
      <c r="T744" s="227"/>
    </row>
    <row r="745">
      <c r="A745" s="226"/>
      <c r="I745" s="227"/>
      <c r="O745" s="227"/>
      <c r="T745" s="227"/>
    </row>
    <row r="746">
      <c r="A746" s="226"/>
      <c r="I746" s="227"/>
      <c r="O746" s="227"/>
      <c r="T746" s="227"/>
    </row>
    <row r="747">
      <c r="A747" s="226"/>
      <c r="I747" s="227"/>
      <c r="O747" s="227"/>
      <c r="T747" s="227"/>
    </row>
    <row r="748">
      <c r="A748" s="226"/>
      <c r="I748" s="227"/>
      <c r="O748" s="227"/>
      <c r="T748" s="227"/>
    </row>
    <row r="749">
      <c r="A749" s="226"/>
      <c r="I749" s="227"/>
      <c r="O749" s="227"/>
      <c r="T749" s="227"/>
    </row>
    <row r="750">
      <c r="A750" s="226"/>
      <c r="I750" s="227"/>
      <c r="O750" s="227"/>
      <c r="T750" s="227"/>
    </row>
    <row r="751">
      <c r="A751" s="226"/>
      <c r="I751" s="227"/>
      <c r="O751" s="227"/>
      <c r="T751" s="227"/>
    </row>
    <row r="752">
      <c r="A752" s="226"/>
      <c r="I752" s="227"/>
      <c r="O752" s="227"/>
      <c r="T752" s="227"/>
    </row>
    <row r="753">
      <c r="A753" s="226"/>
      <c r="I753" s="227"/>
      <c r="O753" s="227"/>
      <c r="T753" s="227"/>
    </row>
    <row r="754">
      <c r="A754" s="226"/>
      <c r="I754" s="227"/>
      <c r="O754" s="227"/>
      <c r="T754" s="227"/>
    </row>
    <row r="755">
      <c r="A755" s="226"/>
      <c r="I755" s="227"/>
      <c r="O755" s="227"/>
      <c r="T755" s="227"/>
    </row>
    <row r="756">
      <c r="A756" s="226"/>
      <c r="I756" s="227"/>
      <c r="O756" s="227"/>
      <c r="T756" s="227"/>
    </row>
    <row r="757">
      <c r="A757" s="226"/>
      <c r="I757" s="227"/>
      <c r="O757" s="227"/>
      <c r="T757" s="227"/>
    </row>
    <row r="758">
      <c r="A758" s="226"/>
      <c r="I758" s="227"/>
      <c r="O758" s="227"/>
      <c r="T758" s="227"/>
    </row>
    <row r="759">
      <c r="A759" s="226"/>
      <c r="I759" s="227"/>
      <c r="O759" s="227"/>
      <c r="T759" s="227"/>
    </row>
    <row r="760">
      <c r="A760" s="226"/>
      <c r="I760" s="227"/>
      <c r="O760" s="227"/>
      <c r="T760" s="227"/>
    </row>
    <row r="761">
      <c r="A761" s="226"/>
      <c r="I761" s="227"/>
      <c r="O761" s="227"/>
      <c r="T761" s="227"/>
    </row>
    <row r="762">
      <c r="A762" s="226"/>
      <c r="I762" s="227"/>
      <c r="O762" s="227"/>
      <c r="T762" s="227"/>
    </row>
    <row r="763">
      <c r="A763" s="226"/>
      <c r="I763" s="227"/>
      <c r="O763" s="227"/>
      <c r="T763" s="227"/>
    </row>
    <row r="764">
      <c r="A764" s="226"/>
      <c r="I764" s="227"/>
      <c r="O764" s="227"/>
      <c r="T764" s="227"/>
    </row>
    <row r="765">
      <c r="A765" s="226"/>
      <c r="I765" s="227"/>
      <c r="O765" s="227"/>
      <c r="T765" s="227"/>
    </row>
    <row r="766">
      <c r="A766" s="226"/>
      <c r="I766" s="227"/>
      <c r="O766" s="227"/>
      <c r="T766" s="227"/>
    </row>
    <row r="767">
      <c r="A767" s="226"/>
      <c r="I767" s="227"/>
      <c r="O767" s="227"/>
      <c r="T767" s="227"/>
    </row>
    <row r="768">
      <c r="A768" s="226"/>
      <c r="I768" s="227"/>
      <c r="O768" s="227"/>
      <c r="T768" s="227"/>
    </row>
    <row r="769">
      <c r="A769" s="226"/>
      <c r="I769" s="227"/>
      <c r="O769" s="227"/>
      <c r="T769" s="227"/>
    </row>
    <row r="770">
      <c r="A770" s="226"/>
      <c r="I770" s="227"/>
      <c r="O770" s="227"/>
      <c r="T770" s="227"/>
    </row>
    <row r="771">
      <c r="A771" s="226"/>
      <c r="I771" s="227"/>
      <c r="O771" s="227"/>
      <c r="T771" s="227"/>
    </row>
    <row r="772">
      <c r="A772" s="226"/>
      <c r="I772" s="227"/>
      <c r="O772" s="227"/>
      <c r="T772" s="227"/>
    </row>
    <row r="773">
      <c r="A773" s="226"/>
      <c r="I773" s="227"/>
      <c r="O773" s="227"/>
      <c r="T773" s="227"/>
    </row>
    <row r="774">
      <c r="A774" s="226"/>
      <c r="I774" s="227"/>
      <c r="O774" s="227"/>
      <c r="T774" s="227"/>
    </row>
    <row r="775">
      <c r="A775" s="226"/>
      <c r="I775" s="227"/>
      <c r="O775" s="227"/>
      <c r="T775" s="227"/>
    </row>
    <row r="776">
      <c r="A776" s="226"/>
      <c r="I776" s="227"/>
      <c r="O776" s="227"/>
      <c r="T776" s="227"/>
    </row>
    <row r="777">
      <c r="A777" s="226"/>
      <c r="I777" s="227"/>
      <c r="O777" s="227"/>
      <c r="T777" s="227"/>
    </row>
    <row r="778">
      <c r="A778" s="226"/>
      <c r="I778" s="227"/>
      <c r="O778" s="227"/>
      <c r="T778" s="227"/>
    </row>
    <row r="779">
      <c r="A779" s="226"/>
      <c r="I779" s="227"/>
      <c r="O779" s="227"/>
      <c r="T779" s="227"/>
    </row>
    <row r="780">
      <c r="A780" s="226"/>
      <c r="I780" s="227"/>
      <c r="O780" s="227"/>
      <c r="T780" s="227"/>
    </row>
    <row r="781">
      <c r="A781" s="226"/>
      <c r="I781" s="227"/>
      <c r="O781" s="227"/>
      <c r="T781" s="227"/>
    </row>
    <row r="782">
      <c r="A782" s="226"/>
      <c r="I782" s="227"/>
      <c r="O782" s="227"/>
      <c r="T782" s="227"/>
    </row>
    <row r="783">
      <c r="A783" s="226"/>
      <c r="I783" s="227"/>
      <c r="O783" s="227"/>
      <c r="T783" s="227"/>
    </row>
    <row r="784">
      <c r="A784" s="226"/>
      <c r="I784" s="227"/>
      <c r="O784" s="227"/>
      <c r="T784" s="227"/>
    </row>
    <row r="785">
      <c r="A785" s="226"/>
      <c r="I785" s="227"/>
      <c r="O785" s="227"/>
      <c r="T785" s="227"/>
    </row>
    <row r="786">
      <c r="A786" s="226"/>
      <c r="I786" s="227"/>
      <c r="O786" s="227"/>
      <c r="T786" s="227"/>
    </row>
    <row r="787">
      <c r="A787" s="226"/>
      <c r="I787" s="227"/>
      <c r="O787" s="227"/>
      <c r="T787" s="227"/>
    </row>
    <row r="788">
      <c r="A788" s="226"/>
      <c r="I788" s="227"/>
      <c r="O788" s="227"/>
      <c r="T788" s="227"/>
    </row>
    <row r="789">
      <c r="A789" s="226"/>
      <c r="I789" s="227"/>
      <c r="O789" s="227"/>
      <c r="T789" s="227"/>
    </row>
    <row r="790">
      <c r="A790" s="226"/>
      <c r="I790" s="227"/>
      <c r="O790" s="227"/>
      <c r="T790" s="227"/>
    </row>
    <row r="791">
      <c r="A791" s="226"/>
      <c r="I791" s="227"/>
      <c r="O791" s="227"/>
      <c r="T791" s="227"/>
    </row>
    <row r="792">
      <c r="A792" s="226"/>
      <c r="I792" s="227"/>
      <c r="O792" s="227"/>
      <c r="T792" s="227"/>
    </row>
    <row r="793">
      <c r="A793" s="226"/>
      <c r="I793" s="227"/>
      <c r="O793" s="227"/>
      <c r="T793" s="227"/>
    </row>
    <row r="794">
      <c r="A794" s="226"/>
      <c r="I794" s="227"/>
      <c r="O794" s="227"/>
      <c r="T794" s="227"/>
    </row>
    <row r="795">
      <c r="A795" s="226"/>
      <c r="I795" s="227"/>
      <c r="O795" s="227"/>
      <c r="T795" s="227"/>
    </row>
    <row r="796">
      <c r="A796" s="226"/>
      <c r="I796" s="227"/>
      <c r="O796" s="227"/>
      <c r="T796" s="227"/>
    </row>
    <row r="797">
      <c r="A797" s="226"/>
      <c r="I797" s="227"/>
      <c r="O797" s="227"/>
      <c r="T797" s="227"/>
    </row>
    <row r="798">
      <c r="A798" s="226"/>
      <c r="I798" s="227"/>
      <c r="O798" s="227"/>
      <c r="T798" s="227"/>
    </row>
    <row r="799">
      <c r="A799" s="226"/>
      <c r="I799" s="227"/>
      <c r="O799" s="227"/>
      <c r="T799" s="227"/>
    </row>
    <row r="800">
      <c r="A800" s="226"/>
      <c r="I800" s="227"/>
      <c r="O800" s="227"/>
      <c r="T800" s="227"/>
    </row>
    <row r="801">
      <c r="A801" s="226"/>
      <c r="I801" s="227"/>
      <c r="O801" s="227"/>
      <c r="T801" s="227"/>
    </row>
    <row r="802">
      <c r="A802" s="226"/>
      <c r="I802" s="227"/>
      <c r="O802" s="227"/>
      <c r="T802" s="227"/>
    </row>
    <row r="803">
      <c r="A803" s="226"/>
      <c r="I803" s="227"/>
      <c r="O803" s="227"/>
      <c r="T803" s="227"/>
    </row>
    <row r="804">
      <c r="A804" s="226"/>
      <c r="I804" s="227"/>
      <c r="O804" s="227"/>
      <c r="T804" s="227"/>
    </row>
    <row r="805">
      <c r="A805" s="226"/>
      <c r="I805" s="227"/>
      <c r="O805" s="227"/>
      <c r="T805" s="227"/>
    </row>
    <row r="806">
      <c r="A806" s="226"/>
      <c r="I806" s="227"/>
      <c r="O806" s="227"/>
      <c r="T806" s="227"/>
    </row>
    <row r="807">
      <c r="A807" s="226"/>
      <c r="I807" s="227"/>
      <c r="O807" s="227"/>
      <c r="T807" s="227"/>
    </row>
    <row r="808">
      <c r="A808" s="226"/>
      <c r="I808" s="227"/>
      <c r="O808" s="227"/>
      <c r="T808" s="227"/>
    </row>
    <row r="809">
      <c r="A809" s="226"/>
      <c r="I809" s="227"/>
      <c r="O809" s="227"/>
      <c r="T809" s="227"/>
    </row>
    <row r="810">
      <c r="A810" s="226"/>
      <c r="I810" s="227"/>
      <c r="O810" s="227"/>
      <c r="T810" s="227"/>
    </row>
    <row r="811">
      <c r="A811" s="226"/>
      <c r="I811" s="227"/>
      <c r="O811" s="227"/>
      <c r="T811" s="227"/>
    </row>
    <row r="812">
      <c r="A812" s="226"/>
      <c r="I812" s="227"/>
      <c r="O812" s="227"/>
      <c r="T812" s="227"/>
    </row>
    <row r="813">
      <c r="A813" s="226"/>
      <c r="I813" s="227"/>
      <c r="O813" s="227"/>
      <c r="T813" s="227"/>
    </row>
    <row r="814">
      <c r="A814" s="226"/>
      <c r="I814" s="227"/>
      <c r="O814" s="227"/>
      <c r="T814" s="227"/>
    </row>
    <row r="815">
      <c r="A815" s="226"/>
      <c r="I815" s="227"/>
      <c r="O815" s="227"/>
      <c r="T815" s="227"/>
    </row>
    <row r="816">
      <c r="A816" s="226"/>
      <c r="I816" s="227"/>
      <c r="O816" s="227"/>
      <c r="T816" s="227"/>
    </row>
    <row r="817">
      <c r="A817" s="226"/>
      <c r="I817" s="227"/>
      <c r="O817" s="227"/>
      <c r="T817" s="227"/>
    </row>
    <row r="818">
      <c r="A818" s="226"/>
      <c r="I818" s="227"/>
      <c r="O818" s="227"/>
      <c r="T818" s="227"/>
    </row>
    <row r="819">
      <c r="A819" s="226"/>
      <c r="I819" s="227"/>
      <c r="O819" s="227"/>
      <c r="T819" s="227"/>
    </row>
    <row r="820">
      <c r="A820" s="226"/>
      <c r="I820" s="227"/>
      <c r="O820" s="227"/>
      <c r="T820" s="227"/>
    </row>
    <row r="821">
      <c r="A821" s="226"/>
      <c r="I821" s="227"/>
      <c r="O821" s="227"/>
      <c r="T821" s="227"/>
    </row>
    <row r="822">
      <c r="A822" s="226"/>
      <c r="I822" s="227"/>
      <c r="O822" s="227"/>
      <c r="T822" s="227"/>
    </row>
    <row r="823">
      <c r="A823" s="226"/>
      <c r="I823" s="227"/>
      <c r="O823" s="227"/>
      <c r="T823" s="227"/>
    </row>
    <row r="824">
      <c r="A824" s="226"/>
      <c r="I824" s="227"/>
      <c r="O824" s="227"/>
      <c r="T824" s="227"/>
    </row>
    <row r="825">
      <c r="A825" s="226"/>
      <c r="I825" s="227"/>
      <c r="O825" s="227"/>
      <c r="T825" s="227"/>
    </row>
    <row r="826">
      <c r="A826" s="226"/>
      <c r="I826" s="227"/>
      <c r="O826" s="227"/>
      <c r="T826" s="227"/>
    </row>
    <row r="827">
      <c r="A827" s="226"/>
      <c r="I827" s="227"/>
      <c r="O827" s="227"/>
      <c r="T827" s="227"/>
    </row>
    <row r="828">
      <c r="A828" s="226"/>
      <c r="I828" s="227"/>
      <c r="O828" s="227"/>
      <c r="T828" s="227"/>
    </row>
    <row r="829">
      <c r="A829" s="226"/>
      <c r="I829" s="227"/>
      <c r="O829" s="227"/>
      <c r="T829" s="227"/>
    </row>
    <row r="830">
      <c r="A830" s="226"/>
      <c r="I830" s="227"/>
      <c r="O830" s="227"/>
      <c r="T830" s="227"/>
    </row>
    <row r="831">
      <c r="A831" s="226"/>
      <c r="I831" s="227"/>
      <c r="O831" s="227"/>
      <c r="T831" s="227"/>
    </row>
    <row r="832">
      <c r="A832" s="226"/>
      <c r="I832" s="227"/>
      <c r="O832" s="227"/>
      <c r="T832" s="227"/>
    </row>
    <row r="833">
      <c r="A833" s="226"/>
      <c r="I833" s="227"/>
      <c r="O833" s="227"/>
      <c r="T833" s="227"/>
    </row>
    <row r="834">
      <c r="A834" s="226"/>
      <c r="I834" s="227"/>
      <c r="O834" s="227"/>
      <c r="T834" s="227"/>
    </row>
    <row r="835">
      <c r="A835" s="226"/>
      <c r="I835" s="227"/>
      <c r="O835" s="227"/>
      <c r="T835" s="227"/>
    </row>
    <row r="836">
      <c r="A836" s="226"/>
      <c r="I836" s="227"/>
      <c r="O836" s="227"/>
      <c r="T836" s="227"/>
    </row>
    <row r="837">
      <c r="A837" s="226"/>
      <c r="I837" s="227"/>
      <c r="O837" s="227"/>
      <c r="T837" s="227"/>
    </row>
    <row r="838">
      <c r="A838" s="226"/>
      <c r="I838" s="227"/>
      <c r="O838" s="227"/>
      <c r="T838" s="227"/>
    </row>
    <row r="839">
      <c r="A839" s="226"/>
      <c r="I839" s="227"/>
      <c r="O839" s="227"/>
      <c r="T839" s="227"/>
    </row>
    <row r="840">
      <c r="A840" s="226"/>
      <c r="I840" s="227"/>
      <c r="O840" s="227"/>
      <c r="T840" s="227"/>
    </row>
    <row r="841">
      <c r="A841" s="226"/>
      <c r="I841" s="227"/>
      <c r="O841" s="227"/>
      <c r="T841" s="227"/>
    </row>
    <row r="842">
      <c r="A842" s="226"/>
      <c r="I842" s="227"/>
      <c r="O842" s="227"/>
      <c r="T842" s="227"/>
    </row>
    <row r="843">
      <c r="A843" s="226"/>
      <c r="I843" s="227"/>
      <c r="O843" s="227"/>
      <c r="T843" s="227"/>
    </row>
    <row r="844">
      <c r="A844" s="226"/>
      <c r="I844" s="227"/>
      <c r="O844" s="227"/>
      <c r="T844" s="227"/>
    </row>
    <row r="845">
      <c r="A845" s="226"/>
      <c r="I845" s="227"/>
      <c r="O845" s="227"/>
      <c r="T845" s="227"/>
    </row>
    <row r="846">
      <c r="A846" s="226"/>
      <c r="I846" s="227"/>
      <c r="O846" s="227"/>
      <c r="T846" s="227"/>
    </row>
    <row r="847">
      <c r="A847" s="226"/>
      <c r="I847" s="227"/>
      <c r="O847" s="227"/>
      <c r="T847" s="227"/>
    </row>
    <row r="848">
      <c r="A848" s="226"/>
      <c r="I848" s="227"/>
      <c r="O848" s="227"/>
      <c r="T848" s="227"/>
    </row>
    <row r="849">
      <c r="A849" s="226"/>
      <c r="I849" s="227"/>
      <c r="O849" s="227"/>
      <c r="T849" s="227"/>
    </row>
    <row r="850">
      <c r="A850" s="226"/>
      <c r="I850" s="227"/>
      <c r="O850" s="227"/>
      <c r="T850" s="227"/>
    </row>
    <row r="851">
      <c r="A851" s="226"/>
      <c r="I851" s="227"/>
      <c r="O851" s="227"/>
      <c r="T851" s="227"/>
    </row>
    <row r="852">
      <c r="A852" s="226"/>
      <c r="I852" s="227"/>
      <c r="O852" s="227"/>
      <c r="T852" s="227"/>
    </row>
    <row r="853">
      <c r="A853" s="226"/>
      <c r="I853" s="227"/>
      <c r="O853" s="227"/>
      <c r="T853" s="227"/>
    </row>
    <row r="854">
      <c r="A854" s="226"/>
      <c r="I854" s="227"/>
      <c r="O854" s="227"/>
      <c r="T854" s="227"/>
    </row>
    <row r="855">
      <c r="A855" s="226"/>
      <c r="I855" s="227"/>
      <c r="O855" s="227"/>
      <c r="T855" s="227"/>
    </row>
    <row r="856">
      <c r="A856" s="226"/>
      <c r="I856" s="227"/>
      <c r="O856" s="227"/>
      <c r="T856" s="227"/>
    </row>
    <row r="857">
      <c r="A857" s="226"/>
      <c r="I857" s="227"/>
      <c r="O857" s="227"/>
      <c r="T857" s="227"/>
    </row>
    <row r="858">
      <c r="A858" s="226"/>
      <c r="I858" s="227"/>
      <c r="O858" s="227"/>
      <c r="T858" s="227"/>
    </row>
    <row r="859">
      <c r="A859" s="226"/>
      <c r="I859" s="227"/>
      <c r="O859" s="227"/>
      <c r="T859" s="227"/>
    </row>
    <row r="860">
      <c r="A860" s="226"/>
      <c r="I860" s="227"/>
      <c r="O860" s="227"/>
      <c r="T860" s="227"/>
    </row>
    <row r="861">
      <c r="A861" s="226"/>
      <c r="I861" s="227"/>
      <c r="O861" s="227"/>
      <c r="T861" s="227"/>
    </row>
    <row r="862">
      <c r="A862" s="226"/>
      <c r="I862" s="227"/>
      <c r="O862" s="227"/>
      <c r="T862" s="227"/>
    </row>
    <row r="863">
      <c r="A863" s="226"/>
      <c r="I863" s="227"/>
      <c r="O863" s="227"/>
      <c r="T863" s="227"/>
    </row>
    <row r="864">
      <c r="A864" s="226"/>
      <c r="I864" s="227"/>
      <c r="O864" s="227"/>
      <c r="T864" s="227"/>
    </row>
    <row r="865">
      <c r="A865" s="226"/>
      <c r="I865" s="227"/>
      <c r="O865" s="227"/>
      <c r="T865" s="227"/>
    </row>
    <row r="866">
      <c r="A866" s="226"/>
      <c r="I866" s="227"/>
      <c r="O866" s="227"/>
      <c r="T866" s="227"/>
    </row>
    <row r="867">
      <c r="A867" s="226"/>
      <c r="I867" s="227"/>
      <c r="O867" s="227"/>
      <c r="T867" s="227"/>
    </row>
    <row r="868">
      <c r="A868" s="226"/>
      <c r="I868" s="227"/>
      <c r="O868" s="227"/>
      <c r="T868" s="227"/>
    </row>
    <row r="869">
      <c r="A869" s="226"/>
      <c r="I869" s="227"/>
      <c r="O869" s="227"/>
      <c r="T869" s="227"/>
    </row>
    <row r="870">
      <c r="A870" s="226"/>
      <c r="I870" s="227"/>
      <c r="O870" s="227"/>
      <c r="T870" s="227"/>
    </row>
    <row r="871">
      <c r="A871" s="226"/>
      <c r="I871" s="227"/>
      <c r="O871" s="227"/>
      <c r="T871" s="227"/>
    </row>
    <row r="872">
      <c r="A872" s="226"/>
      <c r="I872" s="227"/>
      <c r="O872" s="227"/>
      <c r="T872" s="227"/>
    </row>
    <row r="873">
      <c r="A873" s="226"/>
      <c r="I873" s="227"/>
      <c r="O873" s="227"/>
      <c r="T873" s="227"/>
    </row>
    <row r="874">
      <c r="A874" s="226"/>
      <c r="I874" s="227"/>
      <c r="O874" s="227"/>
      <c r="T874" s="227"/>
    </row>
    <row r="875">
      <c r="A875" s="226"/>
      <c r="I875" s="227"/>
      <c r="O875" s="227"/>
      <c r="T875" s="227"/>
    </row>
    <row r="876">
      <c r="A876" s="226"/>
      <c r="I876" s="227"/>
      <c r="O876" s="227"/>
      <c r="T876" s="227"/>
    </row>
    <row r="877">
      <c r="A877" s="226"/>
      <c r="I877" s="227"/>
      <c r="O877" s="227"/>
      <c r="T877" s="227"/>
    </row>
    <row r="878">
      <c r="A878" s="226"/>
      <c r="I878" s="227"/>
      <c r="O878" s="227"/>
      <c r="T878" s="227"/>
    </row>
    <row r="879">
      <c r="A879" s="226"/>
      <c r="I879" s="227"/>
      <c r="O879" s="227"/>
      <c r="T879" s="227"/>
    </row>
    <row r="880">
      <c r="A880" s="226"/>
      <c r="I880" s="227"/>
      <c r="O880" s="227"/>
      <c r="T880" s="227"/>
    </row>
    <row r="881">
      <c r="A881" s="226"/>
      <c r="I881" s="227"/>
      <c r="O881" s="227"/>
      <c r="T881" s="227"/>
    </row>
    <row r="882">
      <c r="A882" s="226"/>
      <c r="I882" s="227"/>
      <c r="O882" s="227"/>
      <c r="T882" s="227"/>
    </row>
    <row r="883">
      <c r="A883" s="226"/>
      <c r="I883" s="227"/>
      <c r="O883" s="227"/>
      <c r="T883" s="227"/>
    </row>
    <row r="884">
      <c r="A884" s="226"/>
      <c r="I884" s="227"/>
      <c r="O884" s="227"/>
      <c r="T884" s="227"/>
    </row>
    <row r="885">
      <c r="A885" s="226"/>
      <c r="I885" s="227"/>
      <c r="O885" s="227"/>
      <c r="T885" s="227"/>
    </row>
    <row r="886">
      <c r="A886" s="226"/>
      <c r="I886" s="227"/>
      <c r="O886" s="227"/>
      <c r="T886" s="227"/>
    </row>
    <row r="887">
      <c r="A887" s="226"/>
      <c r="I887" s="227"/>
      <c r="O887" s="227"/>
      <c r="T887" s="227"/>
    </row>
    <row r="888">
      <c r="A888" s="226"/>
      <c r="I888" s="227"/>
      <c r="O888" s="227"/>
      <c r="T888" s="227"/>
    </row>
    <row r="889">
      <c r="A889" s="226"/>
      <c r="I889" s="227"/>
      <c r="O889" s="227"/>
      <c r="T889" s="227"/>
    </row>
    <row r="890">
      <c r="A890" s="226"/>
      <c r="I890" s="227"/>
      <c r="O890" s="227"/>
      <c r="T890" s="227"/>
    </row>
    <row r="891">
      <c r="A891" s="226"/>
      <c r="I891" s="227"/>
      <c r="O891" s="227"/>
      <c r="T891" s="227"/>
    </row>
    <row r="892">
      <c r="A892" s="226"/>
      <c r="I892" s="227"/>
      <c r="O892" s="227"/>
      <c r="T892" s="227"/>
    </row>
    <row r="893">
      <c r="A893" s="226"/>
      <c r="I893" s="227"/>
      <c r="O893" s="227"/>
      <c r="T893" s="227"/>
    </row>
    <row r="894">
      <c r="A894" s="226"/>
      <c r="I894" s="227"/>
      <c r="O894" s="227"/>
      <c r="T894" s="227"/>
    </row>
    <row r="895">
      <c r="A895" s="226"/>
      <c r="I895" s="227"/>
      <c r="O895" s="227"/>
      <c r="T895" s="227"/>
    </row>
    <row r="896">
      <c r="A896" s="226"/>
      <c r="I896" s="227"/>
      <c r="O896" s="227"/>
      <c r="T896" s="227"/>
    </row>
    <row r="897">
      <c r="A897" s="226"/>
      <c r="I897" s="227"/>
      <c r="O897" s="227"/>
      <c r="T897" s="227"/>
    </row>
    <row r="898">
      <c r="A898" s="226"/>
      <c r="I898" s="227"/>
      <c r="O898" s="227"/>
      <c r="T898" s="227"/>
    </row>
    <row r="899">
      <c r="A899" s="226"/>
      <c r="I899" s="227"/>
      <c r="O899" s="227"/>
      <c r="T899" s="227"/>
    </row>
    <row r="900">
      <c r="A900" s="226"/>
      <c r="I900" s="227"/>
      <c r="O900" s="227"/>
      <c r="T900" s="227"/>
    </row>
    <row r="901">
      <c r="A901" s="226"/>
      <c r="I901" s="227"/>
      <c r="O901" s="227"/>
      <c r="T901" s="227"/>
    </row>
    <row r="902">
      <c r="A902" s="226"/>
      <c r="I902" s="227"/>
      <c r="O902" s="227"/>
      <c r="T902" s="227"/>
    </row>
    <row r="903">
      <c r="A903" s="226"/>
      <c r="I903" s="227"/>
      <c r="O903" s="227"/>
      <c r="T903" s="227"/>
    </row>
    <row r="904">
      <c r="A904" s="226"/>
      <c r="I904" s="227"/>
      <c r="O904" s="227"/>
      <c r="T904" s="227"/>
    </row>
    <row r="905">
      <c r="A905" s="226"/>
      <c r="I905" s="227"/>
      <c r="O905" s="227"/>
      <c r="T905" s="227"/>
    </row>
    <row r="906">
      <c r="A906" s="226"/>
      <c r="I906" s="227"/>
      <c r="O906" s="227"/>
      <c r="T906" s="227"/>
    </row>
    <row r="907">
      <c r="A907" s="226"/>
      <c r="I907" s="227"/>
      <c r="O907" s="227"/>
      <c r="T907" s="227"/>
    </row>
    <row r="908">
      <c r="A908" s="226"/>
      <c r="I908" s="227"/>
      <c r="O908" s="227"/>
      <c r="T908" s="227"/>
    </row>
    <row r="909">
      <c r="A909" s="226"/>
      <c r="I909" s="227"/>
      <c r="O909" s="227"/>
      <c r="T909" s="227"/>
    </row>
    <row r="910">
      <c r="A910" s="226"/>
      <c r="I910" s="227"/>
      <c r="O910" s="227"/>
      <c r="T910" s="227"/>
    </row>
    <row r="911">
      <c r="A911" s="226"/>
      <c r="I911" s="227"/>
      <c r="O911" s="227"/>
      <c r="T911" s="227"/>
    </row>
    <row r="912">
      <c r="A912" s="226"/>
      <c r="I912" s="227"/>
      <c r="O912" s="227"/>
      <c r="T912" s="227"/>
    </row>
    <row r="913">
      <c r="A913" s="226"/>
      <c r="I913" s="227"/>
      <c r="O913" s="227"/>
      <c r="T913" s="227"/>
    </row>
    <row r="914">
      <c r="A914" s="226"/>
      <c r="I914" s="227"/>
      <c r="O914" s="227"/>
      <c r="T914" s="227"/>
    </row>
    <row r="915">
      <c r="A915" s="226"/>
      <c r="I915" s="227"/>
      <c r="O915" s="227"/>
      <c r="T915" s="227"/>
    </row>
    <row r="916">
      <c r="A916" s="226"/>
      <c r="I916" s="227"/>
      <c r="O916" s="227"/>
      <c r="T916" s="227"/>
    </row>
    <row r="917">
      <c r="A917" s="226"/>
      <c r="I917" s="227"/>
      <c r="O917" s="227"/>
      <c r="T917" s="227"/>
    </row>
    <row r="918">
      <c r="A918" s="226"/>
      <c r="I918" s="227"/>
      <c r="O918" s="227"/>
      <c r="T918" s="227"/>
    </row>
    <row r="919">
      <c r="A919" s="226"/>
      <c r="I919" s="227"/>
      <c r="O919" s="227"/>
      <c r="T919" s="227"/>
    </row>
    <row r="920">
      <c r="A920" s="226"/>
      <c r="I920" s="227"/>
      <c r="O920" s="227"/>
      <c r="T920" s="227"/>
    </row>
    <row r="921">
      <c r="A921" s="226"/>
      <c r="I921" s="227"/>
      <c r="O921" s="227"/>
      <c r="T921" s="227"/>
    </row>
    <row r="922">
      <c r="A922" s="226"/>
      <c r="I922" s="227"/>
      <c r="O922" s="227"/>
      <c r="T922" s="227"/>
    </row>
    <row r="923">
      <c r="A923" s="226"/>
      <c r="I923" s="227"/>
      <c r="O923" s="227"/>
      <c r="T923" s="227"/>
    </row>
    <row r="924">
      <c r="A924" s="226"/>
      <c r="I924" s="227"/>
      <c r="O924" s="227"/>
      <c r="T924" s="227"/>
    </row>
    <row r="925">
      <c r="A925" s="226"/>
      <c r="I925" s="227"/>
      <c r="O925" s="227"/>
      <c r="T925" s="227"/>
    </row>
    <row r="926">
      <c r="A926" s="226"/>
      <c r="I926" s="227"/>
      <c r="O926" s="227"/>
      <c r="T926" s="227"/>
    </row>
    <row r="927">
      <c r="A927" s="226"/>
      <c r="I927" s="227"/>
      <c r="O927" s="227"/>
      <c r="T927" s="227"/>
    </row>
    <row r="928">
      <c r="A928" s="226"/>
      <c r="I928" s="227"/>
      <c r="O928" s="227"/>
      <c r="T928" s="227"/>
    </row>
    <row r="929">
      <c r="A929" s="226"/>
      <c r="I929" s="227"/>
      <c r="O929" s="227"/>
      <c r="T929" s="227"/>
    </row>
    <row r="930">
      <c r="A930" s="226"/>
      <c r="I930" s="227"/>
      <c r="O930" s="227"/>
      <c r="T930" s="227"/>
    </row>
    <row r="931">
      <c r="A931" s="226"/>
      <c r="I931" s="227"/>
      <c r="O931" s="227"/>
      <c r="T931" s="227"/>
    </row>
    <row r="932">
      <c r="A932" s="226"/>
      <c r="I932" s="227"/>
      <c r="O932" s="227"/>
      <c r="T932" s="227"/>
    </row>
    <row r="933">
      <c r="A933" s="226"/>
      <c r="I933" s="227"/>
      <c r="O933" s="227"/>
      <c r="T933" s="227"/>
    </row>
    <row r="934">
      <c r="A934" s="226"/>
      <c r="I934" s="227"/>
      <c r="O934" s="227"/>
      <c r="T934" s="227"/>
    </row>
    <row r="935">
      <c r="A935" s="226"/>
      <c r="I935" s="227"/>
      <c r="O935" s="227"/>
      <c r="T935" s="227"/>
    </row>
    <row r="936">
      <c r="A936" s="226"/>
      <c r="I936" s="227"/>
      <c r="O936" s="227"/>
      <c r="T936" s="227"/>
    </row>
    <row r="937">
      <c r="A937" s="226"/>
      <c r="I937" s="227"/>
      <c r="O937" s="227"/>
      <c r="T937" s="227"/>
    </row>
    <row r="938">
      <c r="A938" s="226"/>
      <c r="I938" s="227"/>
      <c r="O938" s="227"/>
      <c r="T938" s="227"/>
    </row>
    <row r="939">
      <c r="A939" s="226"/>
      <c r="I939" s="227"/>
      <c r="O939" s="227"/>
      <c r="T939" s="227"/>
    </row>
    <row r="940">
      <c r="A940" s="226"/>
      <c r="I940" s="227"/>
      <c r="O940" s="227"/>
      <c r="T940" s="227"/>
    </row>
    <row r="941">
      <c r="A941" s="226"/>
      <c r="I941" s="227"/>
      <c r="O941" s="227"/>
      <c r="T941" s="227"/>
    </row>
    <row r="942">
      <c r="A942" s="226"/>
      <c r="I942" s="227"/>
      <c r="O942" s="227"/>
      <c r="T942" s="227"/>
    </row>
    <row r="943">
      <c r="A943" s="226"/>
      <c r="I943" s="227"/>
      <c r="O943" s="227"/>
      <c r="T943" s="227"/>
    </row>
    <row r="944">
      <c r="A944" s="226"/>
      <c r="I944" s="227"/>
      <c r="O944" s="227"/>
      <c r="T944" s="227"/>
    </row>
    <row r="945">
      <c r="A945" s="226"/>
      <c r="I945" s="227"/>
      <c r="O945" s="227"/>
      <c r="T945" s="227"/>
    </row>
    <row r="946">
      <c r="A946" s="226"/>
      <c r="I946" s="227"/>
      <c r="O946" s="227"/>
      <c r="T946" s="227"/>
    </row>
    <row r="947">
      <c r="A947" s="226"/>
      <c r="I947" s="227"/>
      <c r="O947" s="227"/>
      <c r="T947" s="227"/>
    </row>
    <row r="948">
      <c r="A948" s="226"/>
      <c r="I948" s="227"/>
      <c r="O948" s="227"/>
      <c r="T948" s="227"/>
    </row>
    <row r="949">
      <c r="A949" s="226"/>
      <c r="I949" s="227"/>
      <c r="O949" s="227"/>
      <c r="T949" s="227"/>
    </row>
    <row r="950">
      <c r="A950" s="226"/>
      <c r="I950" s="227"/>
      <c r="O950" s="227"/>
      <c r="T950" s="227"/>
    </row>
    <row r="951">
      <c r="A951" s="226"/>
      <c r="I951" s="227"/>
      <c r="O951" s="227"/>
      <c r="T951" s="227"/>
    </row>
    <row r="952">
      <c r="A952" s="226"/>
      <c r="I952" s="227"/>
      <c r="O952" s="227"/>
      <c r="T952" s="227"/>
    </row>
    <row r="953">
      <c r="A953" s="226"/>
      <c r="I953" s="227"/>
      <c r="O953" s="227"/>
      <c r="T953" s="227"/>
    </row>
    <row r="954">
      <c r="A954" s="226"/>
      <c r="I954" s="227"/>
      <c r="O954" s="227"/>
      <c r="T954" s="227"/>
    </row>
    <row r="955">
      <c r="A955" s="226"/>
      <c r="I955" s="227"/>
      <c r="O955" s="227"/>
      <c r="T955" s="227"/>
    </row>
    <row r="956">
      <c r="A956" s="226"/>
      <c r="I956" s="227"/>
      <c r="O956" s="227"/>
      <c r="T956" s="227"/>
    </row>
    <row r="957">
      <c r="A957" s="226"/>
      <c r="I957" s="227"/>
      <c r="O957" s="227"/>
      <c r="T957" s="227"/>
    </row>
    <row r="958">
      <c r="A958" s="226"/>
      <c r="I958" s="227"/>
      <c r="O958" s="227"/>
      <c r="T958" s="227"/>
    </row>
    <row r="959">
      <c r="A959" s="226"/>
      <c r="I959" s="227"/>
      <c r="O959" s="227"/>
      <c r="T959" s="227"/>
    </row>
    <row r="960">
      <c r="A960" s="226"/>
      <c r="I960" s="227"/>
      <c r="O960" s="227"/>
      <c r="T960" s="227"/>
    </row>
    <row r="961">
      <c r="A961" s="226"/>
      <c r="I961" s="227"/>
      <c r="O961" s="227"/>
      <c r="T961" s="227"/>
    </row>
    <row r="962">
      <c r="A962" s="226"/>
      <c r="I962" s="227"/>
      <c r="O962" s="227"/>
      <c r="T962" s="227"/>
    </row>
    <row r="963">
      <c r="A963" s="226"/>
      <c r="I963" s="227"/>
      <c r="O963" s="227"/>
      <c r="T963" s="227"/>
    </row>
    <row r="964">
      <c r="A964" s="226"/>
      <c r="I964" s="227"/>
      <c r="O964" s="227"/>
      <c r="T964" s="227"/>
    </row>
    <row r="965">
      <c r="A965" s="226"/>
      <c r="I965" s="227"/>
      <c r="O965" s="227"/>
      <c r="T965" s="227"/>
    </row>
    <row r="966">
      <c r="A966" s="226"/>
      <c r="I966" s="227"/>
      <c r="O966" s="227"/>
      <c r="T966" s="227"/>
    </row>
    <row r="967">
      <c r="A967" s="226"/>
      <c r="I967" s="227"/>
      <c r="O967" s="227"/>
      <c r="T967" s="227"/>
    </row>
    <row r="968">
      <c r="A968" s="226"/>
      <c r="I968" s="227"/>
      <c r="O968" s="227"/>
      <c r="T968" s="227"/>
    </row>
    <row r="969">
      <c r="A969" s="226"/>
      <c r="I969" s="227"/>
      <c r="O969" s="227"/>
      <c r="T969" s="227"/>
    </row>
    <row r="970">
      <c r="A970" s="226"/>
      <c r="I970" s="227"/>
      <c r="O970" s="227"/>
      <c r="T970" s="227"/>
    </row>
    <row r="971">
      <c r="A971" s="226"/>
      <c r="I971" s="227"/>
      <c r="O971" s="227"/>
      <c r="T971" s="227"/>
    </row>
    <row r="972">
      <c r="A972" s="226"/>
      <c r="I972" s="227"/>
      <c r="O972" s="227"/>
      <c r="T972" s="227"/>
    </row>
    <row r="973">
      <c r="A973" s="226"/>
      <c r="I973" s="227"/>
      <c r="O973" s="227"/>
      <c r="T973" s="227"/>
    </row>
    <row r="974">
      <c r="A974" s="226"/>
      <c r="I974" s="227"/>
      <c r="O974" s="227"/>
      <c r="T974" s="227"/>
    </row>
    <row r="975">
      <c r="A975" s="226"/>
      <c r="I975" s="227"/>
      <c r="O975" s="227"/>
      <c r="T975" s="227"/>
    </row>
    <row r="976">
      <c r="A976" s="226"/>
      <c r="I976" s="227"/>
      <c r="O976" s="227"/>
      <c r="T976" s="227"/>
    </row>
    <row r="977">
      <c r="A977" s="226"/>
      <c r="I977" s="227"/>
      <c r="O977" s="227"/>
      <c r="T977" s="227"/>
    </row>
    <row r="978">
      <c r="A978" s="226"/>
      <c r="I978" s="227"/>
      <c r="O978" s="227"/>
      <c r="T978" s="227"/>
    </row>
    <row r="979">
      <c r="A979" s="226"/>
      <c r="I979" s="227"/>
      <c r="O979" s="227"/>
      <c r="T979" s="227"/>
    </row>
    <row r="980">
      <c r="A980" s="226"/>
      <c r="I980" s="227"/>
      <c r="O980" s="227"/>
      <c r="T980" s="227"/>
    </row>
    <row r="981">
      <c r="A981" s="226"/>
      <c r="I981" s="227"/>
      <c r="O981" s="227"/>
      <c r="T981" s="227"/>
    </row>
    <row r="982">
      <c r="A982" s="226"/>
      <c r="I982" s="227"/>
      <c r="O982" s="227"/>
      <c r="T982" s="227"/>
    </row>
    <row r="983">
      <c r="A983" s="226"/>
      <c r="I983" s="227"/>
      <c r="O983" s="227"/>
      <c r="T983" s="227"/>
    </row>
    <row r="984">
      <c r="A984" s="226"/>
      <c r="I984" s="227"/>
      <c r="O984" s="227"/>
      <c r="T984" s="227"/>
    </row>
    <row r="985">
      <c r="A985" s="226"/>
      <c r="I985" s="227"/>
      <c r="O985" s="227"/>
      <c r="T985" s="227"/>
    </row>
    <row r="986">
      <c r="A986" s="226"/>
      <c r="I986" s="227"/>
      <c r="O986" s="227"/>
      <c r="T986" s="227"/>
    </row>
    <row r="987">
      <c r="A987" s="226"/>
      <c r="I987" s="227"/>
      <c r="O987" s="227"/>
      <c r="T987" s="227"/>
    </row>
    <row r="988">
      <c r="A988" s="226"/>
      <c r="I988" s="227"/>
      <c r="O988" s="227"/>
      <c r="T988" s="227"/>
    </row>
    <row r="989">
      <c r="A989" s="226"/>
      <c r="I989" s="227"/>
      <c r="O989" s="227"/>
      <c r="T989" s="227"/>
    </row>
    <row r="990">
      <c r="A990" s="226"/>
      <c r="I990" s="227"/>
      <c r="O990" s="227"/>
      <c r="T990" s="227"/>
    </row>
    <row r="991">
      <c r="A991" s="226"/>
      <c r="I991" s="227"/>
      <c r="O991" s="227"/>
      <c r="T991" s="227"/>
    </row>
    <row r="992">
      <c r="A992" s="226"/>
      <c r="I992" s="227"/>
      <c r="O992" s="227"/>
      <c r="T992" s="227"/>
    </row>
    <row r="993">
      <c r="A993" s="226"/>
      <c r="I993" s="227"/>
      <c r="O993" s="227"/>
      <c r="T993" s="227"/>
    </row>
    <row r="994">
      <c r="A994" s="226"/>
      <c r="I994" s="227"/>
      <c r="O994" s="227"/>
      <c r="T994" s="227"/>
    </row>
    <row r="995">
      <c r="A995" s="226"/>
      <c r="I995" s="227"/>
      <c r="O995" s="227"/>
      <c r="T995" s="227"/>
    </row>
    <row r="996">
      <c r="A996" s="226"/>
      <c r="I996" s="227"/>
      <c r="O996" s="227"/>
      <c r="T996" s="227"/>
    </row>
    <row r="997">
      <c r="A997" s="226"/>
      <c r="I997" s="227"/>
      <c r="O997" s="227"/>
      <c r="T997" s="227"/>
    </row>
    <row r="998">
      <c r="A998" s="226"/>
      <c r="I998" s="227"/>
      <c r="O998" s="227"/>
      <c r="T998" s="227"/>
    </row>
    <row r="999">
      <c r="A999" s="226"/>
      <c r="I999" s="227"/>
      <c r="O999" s="227"/>
      <c r="T999" s="227"/>
    </row>
    <row r="1000">
      <c r="A1000" s="226"/>
      <c r="I1000" s="227"/>
      <c r="O1000" s="227"/>
      <c r="T1000" s="227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